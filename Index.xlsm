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0" yWindow="0" windowWidth="20490" windowHeight="8595" tabRatio="356"/>
  </bookViews>
  <sheets>
    <sheet name="Персонал" sheetId="4" r:id="rId1"/>
    <sheet name="МАТЕРИАЛЫ" sheetId="2" r:id="rId2"/>
    <sheet name="ЗАЯВКА" sheetId="3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?utm_source_yan_utm_medium_cpc_utm_campaign_ove_yclid_18397570924582805906" localSheetId="0">Персонал!$I$78:$M$81</definedName>
  </definedName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4" l="1"/>
  <c r="J16" i="4" l="1"/>
  <c r="I16" i="4"/>
  <c r="H16" i="4" l="1"/>
  <c r="Q16" i="4" l="1"/>
  <c r="P16" i="4"/>
  <c r="O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N17" i="4" l="1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N16" i="4"/>
  <c r="M16" i="4" l="1"/>
  <c r="L16" i="4"/>
  <c r="K16" i="4" l="1"/>
  <c r="H17" i="4" l="1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F17" i="4" l="1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G17" i="4" l="1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16" i="4"/>
  <c r="G14" i="4" l="1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F14" i="4" l="1"/>
  <c r="B16" i="4" l="1"/>
  <c r="C16" i="4" s="1"/>
  <c r="C6" i="4"/>
  <c r="D46" i="4"/>
  <c r="B17" i="4" l="1"/>
  <c r="C17" i="4" s="1"/>
  <c r="B18" i="4" l="1"/>
  <c r="C18" i="4" s="1"/>
  <c r="B19" i="4" l="1"/>
  <c r="C19" i="4" s="1"/>
  <c r="B20" i="4" l="1"/>
  <c r="C20" i="4" s="1"/>
  <c r="B21" i="4" l="1"/>
  <c r="C21" i="4" s="1"/>
  <c r="B22" i="4" l="1"/>
  <c r="C22" i="4" s="1"/>
  <c r="B23" i="4" l="1"/>
  <c r="C23" i="4" s="1"/>
  <c r="B24" i="4" l="1"/>
  <c r="C24" i="4" s="1"/>
  <c r="B25" i="4" l="1"/>
  <c r="C25" i="4" s="1"/>
  <c r="B26" i="4" l="1"/>
  <c r="C26" i="4" s="1"/>
  <c r="B27" i="4" l="1"/>
  <c r="C27" i="4" s="1"/>
  <c r="B28" i="4" l="1"/>
  <c r="C28" i="4" s="1"/>
  <c r="B29" i="4" l="1"/>
  <c r="C29" i="4" s="1"/>
  <c r="B30" i="4" l="1"/>
  <c r="C30" i="4" s="1"/>
  <c r="B31" i="4" l="1"/>
  <c r="C31" i="4" s="1"/>
  <c r="B32" i="4" l="1"/>
  <c r="C32" i="4" s="1"/>
  <c r="B33" i="4" l="1"/>
  <c r="C33" i="4" s="1"/>
  <c r="B34" i="4" l="1"/>
  <c r="C34" i="4" s="1"/>
  <c r="B35" i="4" l="1"/>
  <c r="C35" i="4" s="1"/>
  <c r="B36" i="4" l="1"/>
  <c r="C36" i="4" s="1"/>
  <c r="B37" i="4" l="1"/>
  <c r="C37" i="4" s="1"/>
  <c r="B38" i="4" l="1"/>
  <c r="C38" i="4" s="1"/>
  <c r="B39" i="4" l="1"/>
  <c r="C39" i="4" s="1"/>
  <c r="B40" i="4" l="1"/>
  <c r="C40" i="4" s="1"/>
  <c r="B41" i="4" l="1"/>
  <c r="C41" i="4" s="1"/>
  <c r="B42" i="4" l="1"/>
  <c r="C42" i="4" s="1"/>
  <c r="B43" i="4" l="1"/>
  <c r="C43" i="4" s="1"/>
  <c r="B44" i="4" l="1"/>
  <c r="C44" i="4" s="1"/>
  <c r="B45" i="4" l="1"/>
  <c r="C45" i="4" s="1"/>
  <c r="F15" i="4" l="1"/>
  <c r="B46" i="4"/>
  <c r="C46" i="4" s="1"/>
  <c r="C9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J15" i="4"/>
  <c r="K15" i="4"/>
  <c r="L15" i="4"/>
  <c r="G15" i="4"/>
  <c r="H15" i="4"/>
  <c r="I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C10" i="4" l="1"/>
  <c r="D16" i="4"/>
  <c r="E4" i="2"/>
</calcChain>
</file>

<file path=xl/comments1.xml><?xml version="1.0" encoding="utf-8"?>
<comments xmlns="http://schemas.openxmlformats.org/spreadsheetml/2006/main">
  <authors>
    <author>User</author>
    <author>Denys</author>
  </authors>
  <commentList>
    <comment ref="D10" authorId="0">
      <text>
        <r>
          <rPr>
            <sz val="9"/>
            <color indexed="81"/>
            <rFont val="Tahoma"/>
            <charset val="1"/>
          </rPr>
          <t xml:space="preserve">
ПРИИШЛО ПО ФАКТУРЫ - ..НУЖНО ДЛЯ ДИОГРАМ</t>
        </r>
      </text>
    </comment>
    <comment ref="F16" authorId="1">
      <text>
        <r>
          <rPr>
            <b/>
            <sz val="9"/>
            <color indexed="81"/>
            <rFont val="Tahoma"/>
            <family val="2"/>
            <charset val="204"/>
          </rPr>
          <t>Denys: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Подключение" type="4" refreshedVersion="4" background="1" saveData="1">
    <webPr sourceData="1" parsePre="1" consecutive="1" xl2000="1" url="http://currency.garant.ru/?utm_source=yan&amp;utm_medium=cpc&amp;utm_campaign=ove&amp;yclid=18397570924582805906" htmlTables="1">
      <tables count="1">
        <x v="5"/>
      </tables>
    </webPr>
  </connection>
</connections>
</file>

<file path=xl/sharedStrings.xml><?xml version="1.0" encoding="utf-8"?>
<sst xmlns="http://schemas.openxmlformats.org/spreadsheetml/2006/main" count="154" uniqueCount="80">
  <si>
    <t>№</t>
  </si>
  <si>
    <t>НАЗВАНИЕ</t>
  </si>
  <si>
    <t>ТИП</t>
  </si>
  <si>
    <t>КОЛИЧЕСТВО</t>
  </si>
  <si>
    <t>ПРИХОД</t>
  </si>
  <si>
    <t>РАСХОД</t>
  </si>
  <si>
    <t>ДАТА</t>
  </si>
  <si>
    <t>№ ФАКТУРЫ</t>
  </si>
  <si>
    <t>ПРИНЯЛ</t>
  </si>
  <si>
    <t>ФИО</t>
  </si>
  <si>
    <t>В СКЛАДЕ</t>
  </si>
  <si>
    <t>ВЫДАЛ</t>
  </si>
  <si>
    <t>КОМЕНТАРИЙ</t>
  </si>
  <si>
    <t>ЗАЯВКА</t>
  </si>
  <si>
    <t>УЧЕТ МАТЕРИАЛОВ</t>
  </si>
  <si>
    <t>K&amp;Z GROUP SP.ZO.O</t>
  </si>
  <si>
    <t>АРТИКУЛ</t>
  </si>
  <si>
    <t>ФИО Заказчика</t>
  </si>
  <si>
    <t>Заказ материалов</t>
  </si>
  <si>
    <t>Обект</t>
  </si>
  <si>
    <t>A0938h882</t>
  </si>
  <si>
    <t>Птренко Ф.В.</t>
  </si>
  <si>
    <t>YKY4x0.2</t>
  </si>
  <si>
    <t>Кабель</t>
  </si>
  <si>
    <t>ДЕНЬ</t>
  </si>
  <si>
    <t>МЕСЯЦ</t>
  </si>
  <si>
    <t>KOTENKO YURII E</t>
  </si>
  <si>
    <t>GAMAGA SERHII E</t>
  </si>
  <si>
    <t>НАКОПИТЕЛЬНО -&gt;</t>
  </si>
  <si>
    <t>ставка</t>
  </si>
  <si>
    <t>час/день</t>
  </si>
  <si>
    <t>часов-&gt;</t>
  </si>
  <si>
    <t>К ВЫДАЧЕ</t>
  </si>
  <si>
    <t>Человек</t>
  </si>
  <si>
    <t>ГОД</t>
  </si>
  <si>
    <t>Сегодня</t>
  </si>
  <si>
    <t>НОРМА -&gt;</t>
  </si>
  <si>
    <t>MINIUK SERHII E</t>
  </si>
  <si>
    <t xml:space="preserve">SKYBA VITALII E
</t>
  </si>
  <si>
    <t>SKYBA MIKOLAJ E</t>
  </si>
  <si>
    <t>SLOBODIAN OLEKSII E</t>
  </si>
  <si>
    <t>KUCHERIAVYI MYKHAILO E</t>
  </si>
  <si>
    <t>BALANIUK ILLIA E</t>
  </si>
  <si>
    <t>BALANIUK SERHII E</t>
  </si>
  <si>
    <t>Zapas1</t>
  </si>
  <si>
    <t>Zapas2</t>
  </si>
  <si>
    <t>Zapas3</t>
  </si>
  <si>
    <t>Объекты</t>
  </si>
  <si>
    <t>Проффесии</t>
  </si>
  <si>
    <t>Эллектрик</t>
  </si>
  <si>
    <t>Каменщик</t>
  </si>
  <si>
    <t>Штукатр</t>
  </si>
  <si>
    <t xml:space="preserve"> </t>
  </si>
  <si>
    <t>Объект</t>
  </si>
  <si>
    <t>Город</t>
  </si>
  <si>
    <t>А</t>
  </si>
  <si>
    <t>Б</t>
  </si>
  <si>
    <t>В</t>
  </si>
  <si>
    <t>Г</t>
  </si>
  <si>
    <t>Д</t>
  </si>
  <si>
    <t>Tehel</t>
  </si>
  <si>
    <t>ElBau</t>
  </si>
  <si>
    <t>Bud</t>
  </si>
  <si>
    <t>Corso</t>
  </si>
  <si>
    <t>Zapas</t>
  </si>
  <si>
    <t>Проффесия</t>
  </si>
  <si>
    <t>Курс на 2018-01-17</t>
  </si>
  <si>
    <t>Название валюты</t>
  </si>
  <si>
    <t>Обозначение</t>
  </si>
  <si>
    <t>Номинал</t>
  </si>
  <si>
    <t>Курс</t>
  </si>
  <si>
    <t>Изменение курса</t>
  </si>
  <si>
    <t>Доллар США</t>
  </si>
  <si>
    <t>USD</t>
  </si>
  <si>
    <t>56.3878</t>
  </si>
  <si>
    <t>-0.2141</t>
  </si>
  <si>
    <t>Евро</t>
  </si>
  <si>
    <t>EUR</t>
  </si>
  <si>
    <t>69.0243</t>
  </si>
  <si>
    <t>+0.7681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</si>
</sst>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\ [$PLN]_-;\-* #,##0.00\ [$PLN]_-;_-* &quot;-&quot;??\ [$PLN]_-;_-@_-"/>
    <numFmt numFmtId="165" formatCode="dddd"/>
    <numFmt numFmtId="166" formatCode="0.0"/>
  </numFmts>
  <fonts count="33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22"/>
      <color rgb="FF33CC33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rgb="FF33CC33"/>
      <name val="Calibri"/>
      <family val="2"/>
      <charset val="204"/>
      <scheme val="minor"/>
    </font>
    <font>
      <sz val="14"/>
      <color theme="1" tint="0.1499984740745262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9"/>
      <name val="Arial"/>
      <family val="2"/>
      <charset val="204"/>
    </font>
    <font>
      <sz val="10"/>
      <color theme="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sz val="11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9"/>
      <color theme="0"/>
      <name val="Calibri"/>
      <family val="2"/>
      <charset val="204"/>
    </font>
    <font>
      <b/>
      <sz val="1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0"/>
      <color theme="9" tint="-0.499984740745262"/>
      <name val="Calibri"/>
      <family val="2"/>
      <charset val="204"/>
      <scheme val="minor"/>
    </font>
    <font>
      <sz val="24"/>
      <color theme="2" tint="-0.74999237037263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u/>
      <sz val="11"/>
      <color theme="0"/>
      <name val="Calibri"/>
      <family val="2"/>
      <charset val="204"/>
      <scheme val="minor"/>
    </font>
    <font>
      <sz val="10"/>
      <color rgb="FF00B050"/>
      <name val="Cambria"/>
      <family val="1"/>
      <charset val="204"/>
    </font>
    <font>
      <sz val="10"/>
      <color rgb="FFFF0000"/>
      <name val="Cambria"/>
      <family val="1"/>
      <charset val="204"/>
    </font>
    <font>
      <sz val="9"/>
      <color indexed="81"/>
      <name val="Tahoma"/>
      <charset val="1"/>
    </font>
    <font>
      <sz val="11"/>
      <color theme="1" tint="0.499984740745262"/>
      <name val="Calibri"/>
      <family val="2"/>
      <charset val="204"/>
      <scheme val="minor"/>
    </font>
    <font>
      <sz val="11"/>
      <color theme="9" tint="0.79998168889431442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theme="1"/>
      <name val="Arial"/>
      <family val="2"/>
      <charset val="204"/>
    </font>
    <font>
      <sz val="8"/>
      <color theme="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rgb="FF00FFFF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00FFFF"/>
      </patternFill>
    </fill>
    <fill>
      <patternFill patternType="solid">
        <fgColor rgb="FF33CC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00000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10">
    <xf numFmtId="0" fontId="0" fillId="0" borderId="0" xfId="0"/>
    <xf numFmtId="0" fontId="2" fillId="6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11" borderId="0" xfId="0" applyFill="1"/>
    <xf numFmtId="0" fontId="0" fillId="0" borderId="7" xfId="0" applyBorder="1"/>
    <xf numFmtId="2" fontId="0" fillId="0" borderId="7" xfId="0" applyNumberFormat="1" applyBorder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0" borderId="10" xfId="0" applyBorder="1"/>
    <xf numFmtId="14" fontId="0" fillId="0" borderId="7" xfId="0" applyNumberFormat="1" applyBorder="1"/>
    <xf numFmtId="0" fontId="0" fillId="12" borderId="0" xfId="0" applyFill="1"/>
    <xf numFmtId="0" fontId="0" fillId="0" borderId="7" xfId="0" applyNumberFormat="1" applyBorder="1" applyAlignment="1">
      <alignment horizontal="center"/>
    </xf>
    <xf numFmtId="14" fontId="10" fillId="13" borderId="0" xfId="0" applyNumberFormat="1" applyFont="1" applyFill="1" applyBorder="1" applyAlignment="1">
      <alignment horizontal="center"/>
    </xf>
    <xf numFmtId="0" fontId="0" fillId="11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14" fontId="11" fillId="19" borderId="13" xfId="0" applyNumberFormat="1" applyFont="1" applyFill="1" applyBorder="1" applyAlignment="1">
      <alignment horizontal="right"/>
    </xf>
    <xf numFmtId="0" fontId="0" fillId="20" borderId="1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4" fillId="20" borderId="13" xfId="0" applyFont="1" applyFill="1" applyBorder="1" applyAlignment="1">
      <alignment horizontal="center" vertical="center"/>
    </xf>
    <xf numFmtId="0" fontId="15" fillId="20" borderId="13" xfId="0" applyFont="1" applyFill="1" applyBorder="1" applyAlignment="1">
      <alignment horizontal="center" vertical="center"/>
    </xf>
    <xf numFmtId="164" fontId="17" fillId="4" borderId="13" xfId="0" applyNumberFormat="1" applyFont="1" applyFill="1" applyBorder="1" applyAlignment="1">
      <alignment horizontal="center" vertical="center"/>
    </xf>
    <xf numFmtId="0" fontId="18" fillId="21" borderId="0" xfId="0" applyFont="1" applyFill="1" applyBorder="1" applyAlignment="1">
      <alignment horizontal="center" vertical="center"/>
    </xf>
    <xf numFmtId="164" fontId="17" fillId="4" borderId="14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vertical="center"/>
    </xf>
    <xf numFmtId="0" fontId="0" fillId="16" borderId="0" xfId="0" applyFill="1" applyAlignment="1">
      <alignment horizontal="left" vertical="center"/>
    </xf>
    <xf numFmtId="165" fontId="0" fillId="18" borderId="13" xfId="0" applyNumberFormat="1" applyFill="1" applyBorder="1" applyAlignment="1">
      <alignment horizontal="left" vertical="center"/>
    </xf>
    <xf numFmtId="164" fontId="0" fillId="16" borderId="0" xfId="0" applyNumberFormat="1" applyFill="1" applyBorder="1" applyAlignment="1">
      <alignment vertical="center"/>
    </xf>
    <xf numFmtId="0" fontId="20" fillId="16" borderId="13" xfId="0" applyFont="1" applyFill="1" applyBorder="1" applyAlignment="1">
      <alignment horizontal="center" vertical="center"/>
    </xf>
    <xf numFmtId="0" fontId="20" fillId="16" borderId="20" xfId="0" applyFont="1" applyFill="1" applyBorder="1" applyAlignment="1">
      <alignment horizontal="center" vertical="center"/>
    </xf>
    <xf numFmtId="0" fontId="21" fillId="16" borderId="0" xfId="0" applyFont="1" applyFill="1" applyAlignment="1">
      <alignment vertical="center"/>
    </xf>
    <xf numFmtId="0" fontId="19" fillId="16" borderId="18" xfId="0" applyFont="1" applyFill="1" applyBorder="1" applyAlignment="1">
      <alignment vertical="center"/>
    </xf>
    <xf numFmtId="0" fontId="19" fillId="16" borderId="19" xfId="0" applyFont="1" applyFill="1" applyBorder="1" applyAlignment="1">
      <alignment vertical="center"/>
    </xf>
    <xf numFmtId="0" fontId="19" fillId="16" borderId="17" xfId="0" applyFont="1" applyFill="1" applyBorder="1" applyAlignment="1">
      <alignment vertical="center"/>
    </xf>
    <xf numFmtId="14" fontId="20" fillId="16" borderId="13" xfId="0" applyNumberFormat="1" applyFont="1" applyFill="1" applyBorder="1" applyAlignment="1">
      <alignment horizontal="center" vertical="center" wrapText="1"/>
    </xf>
    <xf numFmtId="2" fontId="0" fillId="17" borderId="14" xfId="0" applyNumberFormat="1" applyFill="1" applyBorder="1" applyAlignment="1">
      <alignment horizontal="center" vertical="center"/>
    </xf>
    <xf numFmtId="164" fontId="20" fillId="16" borderId="17" xfId="0" applyNumberFormat="1" applyFont="1" applyFill="1" applyBorder="1" applyAlignment="1">
      <alignment horizontal="center" vertical="center"/>
    </xf>
    <xf numFmtId="0" fontId="0" fillId="16" borderId="10" xfId="0" applyNumberFormat="1" applyFill="1" applyBorder="1" applyAlignment="1">
      <alignment horizontal="center" vertical="center"/>
    </xf>
    <xf numFmtId="166" fontId="0" fillId="16" borderId="11" xfId="0" applyNumberFormat="1" applyFont="1" applyFill="1" applyBorder="1" applyAlignment="1">
      <alignment horizontal="center" vertical="center"/>
    </xf>
    <xf numFmtId="0" fontId="0" fillId="16" borderId="12" xfId="0" applyFont="1" applyFill="1" applyBorder="1" applyAlignment="1">
      <alignment horizontal="center" vertical="center"/>
    </xf>
    <xf numFmtId="0" fontId="0" fillId="16" borderId="10" xfId="0" applyFont="1" applyFill="1" applyBorder="1" applyAlignment="1">
      <alignment horizontal="center" vertical="center"/>
    </xf>
    <xf numFmtId="2" fontId="16" fillId="20" borderId="15" xfId="0" applyNumberFormat="1" applyFont="1" applyFill="1" applyBorder="1" applyAlignment="1">
      <alignment horizontal="center" vertical="center"/>
    </xf>
    <xf numFmtId="2" fontId="16" fillId="20" borderId="16" xfId="0" applyNumberFormat="1" applyFont="1" applyFill="1" applyBorder="1" applyAlignment="1">
      <alignment horizontal="center" vertical="center"/>
    </xf>
    <xf numFmtId="2" fontId="16" fillId="20" borderId="13" xfId="0" applyNumberFormat="1" applyFont="1" applyFill="1" applyBorder="1" applyAlignment="1">
      <alignment horizontal="center" vertical="center"/>
    </xf>
    <xf numFmtId="0" fontId="9" fillId="16" borderId="0" xfId="0" applyFont="1" applyFill="1" applyBorder="1" applyAlignment="1">
      <alignment horizontal="center" vertical="center" textRotation="90" wrapText="1"/>
    </xf>
    <xf numFmtId="0" fontId="4" fillId="14" borderId="13" xfId="0" applyFont="1" applyFill="1" applyBorder="1" applyAlignment="1">
      <alignment horizontal="center" vertical="center"/>
    </xf>
    <xf numFmtId="0" fontId="23" fillId="14" borderId="22" xfId="1" applyFont="1" applyFill="1" applyBorder="1" applyAlignment="1">
      <alignment horizontal="center" vertical="center" wrapText="1"/>
    </xf>
    <xf numFmtId="0" fontId="23" fillId="14" borderId="21" xfId="1" applyFont="1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/>
    </xf>
    <xf numFmtId="0" fontId="24" fillId="14" borderId="22" xfId="0" applyFont="1" applyFill="1" applyBorder="1" applyAlignment="1">
      <alignment horizontal="center" vertical="center" wrapText="1"/>
    </xf>
    <xf numFmtId="0" fontId="24" fillId="14" borderId="21" xfId="0" applyFont="1" applyFill="1" applyBorder="1" applyAlignment="1">
      <alignment horizontal="center" vertical="center" wrapText="1"/>
    </xf>
    <xf numFmtId="0" fontId="0" fillId="18" borderId="13" xfId="0" applyFill="1" applyBorder="1" applyAlignment="1">
      <alignment horizontal="center" vertical="center"/>
    </xf>
    <xf numFmtId="0" fontId="0" fillId="18" borderId="14" xfId="0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0" fontId="25" fillId="14" borderId="22" xfId="0" applyFont="1" applyFill="1" applyBorder="1" applyAlignment="1">
      <alignment horizontal="center" vertical="center" wrapText="1"/>
    </xf>
    <xf numFmtId="0" fontId="25" fillId="14" borderId="21" xfId="0" applyFont="1" applyFill="1" applyBorder="1" applyAlignment="1">
      <alignment horizontal="center" vertical="center" wrapText="1"/>
    </xf>
    <xf numFmtId="0" fontId="23" fillId="14" borderId="22" xfId="1" applyFont="1" applyFill="1" applyBorder="1" applyAlignment="1">
      <alignment horizontal="center" wrapText="1"/>
    </xf>
    <xf numFmtId="0" fontId="23" fillId="14" borderId="21" xfId="1" applyFont="1" applyFill="1" applyBorder="1" applyAlignment="1">
      <alignment horizontal="center" wrapText="1"/>
    </xf>
    <xf numFmtId="0" fontId="12" fillId="14" borderId="22" xfId="0" applyFont="1" applyFill="1" applyBorder="1" applyAlignment="1">
      <alignment horizontal="center" vertical="center" wrapText="1"/>
    </xf>
    <xf numFmtId="0" fontId="12" fillId="14" borderId="21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19" fillId="16" borderId="10" xfId="0" applyFont="1" applyFill="1" applyBorder="1" applyAlignment="1">
      <alignment horizontal="center" vertical="center"/>
    </xf>
    <xf numFmtId="0" fontId="19" fillId="22" borderId="10" xfId="0" applyFont="1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28" fillId="14" borderId="13" xfId="0" applyFont="1" applyFill="1" applyBorder="1" applyAlignment="1">
      <alignment horizontal="center" vertical="center"/>
    </xf>
    <xf numFmtId="0" fontId="28" fillId="23" borderId="13" xfId="0" applyFont="1" applyFill="1" applyBorder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28" fillId="23" borderId="18" xfId="0" applyFont="1" applyFill="1" applyBorder="1" applyAlignment="1">
      <alignment horizontal="center" vertical="center"/>
    </xf>
    <xf numFmtId="0" fontId="28" fillId="14" borderId="18" xfId="0" applyFont="1" applyFill="1" applyBorder="1" applyAlignment="1">
      <alignment horizontal="center" vertical="center"/>
    </xf>
    <xf numFmtId="0" fontId="28" fillId="23" borderId="14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right" vertical="center"/>
    </xf>
    <xf numFmtId="0" fontId="27" fillId="16" borderId="0" xfId="0" applyFont="1" applyFill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19" fillId="22" borderId="23" xfId="0" applyFont="1" applyFill="1" applyBorder="1" applyAlignment="1">
      <alignment horizontal="center" vertical="center"/>
    </xf>
    <xf numFmtId="0" fontId="31" fillId="25" borderId="10" xfId="0" applyFont="1" applyFill="1" applyBorder="1" applyAlignment="1">
      <alignment horizontal="center" vertical="center"/>
    </xf>
    <xf numFmtId="0" fontId="16" fillId="25" borderId="10" xfId="0" applyFont="1" applyFill="1" applyBorder="1" applyAlignment="1">
      <alignment horizontal="center" vertical="center"/>
    </xf>
    <xf numFmtId="0" fontId="32" fillId="7" borderId="23" xfId="0" applyFont="1" applyFill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4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2">
    <dxf>
      <font>
        <color rgb="FFFF0000"/>
      </font>
    </dxf>
    <dxf>
      <font>
        <color rgb="FF0070C0"/>
      </font>
    </dxf>
  </dxfs>
  <tableStyles count="0" defaultTableStyle="TableStyleMedium2" defaultPivotStyle="PivotStyleLight16"/>
  <colors>
    <mruColors>
      <color rgb="FF33CC33"/>
      <color rgb="FFFFFFCC"/>
      <color rgb="FFFFDDDD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10" Type="http://schemas.openxmlformats.org/officeDocument/2006/relationships/externalLink" Target="externalLinks/externalLink7.xml"/><Relationship Id="rId19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ПРОИЗВОДИТЕЛЬНОСТЬ</a:t>
            </a:r>
          </a:p>
        </c:rich>
      </c:tx>
      <c:layout>
        <c:manualLayout>
          <c:xMode val="edge"/>
          <c:yMode val="edge"/>
          <c:x val="6.1006791676813568E-2"/>
          <c:y val="3.55436001828756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ЧАСЫ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Персонал!$F$10:$N$11</c:f>
              <c:strCache>
                <c:ptCount val="9"/>
                <c:pt idx="0">
                  <c:v>KOTENKO YURII E</c:v>
                </c:pt>
                <c:pt idx="1">
                  <c:v>GAMAGA SERHII E</c:v>
                </c:pt>
                <c:pt idx="2">
                  <c:v>MINIUK SERHII E</c:v>
                </c:pt>
                <c:pt idx="3">
                  <c:v>SKYBA VITALII E
</c:v>
                </c:pt>
                <c:pt idx="4">
                  <c:v>SKYBA MIKOLAJ E</c:v>
                </c:pt>
                <c:pt idx="5">
                  <c:v>SLOBODIAN OLEKSII E</c:v>
                </c:pt>
                <c:pt idx="6">
                  <c:v>KUCHERIAVYI MYKHAILO E</c:v>
                </c:pt>
                <c:pt idx="7">
                  <c:v>BALANIUK ILLIA E</c:v>
                </c:pt>
                <c:pt idx="8">
                  <c:v>BALANIUK SERHII E</c:v>
                </c:pt>
              </c:strCache>
            </c:strRef>
          </c:cat>
          <c:val>
            <c:numRef>
              <c:f>Персонал!$F$14:$N$14</c:f>
              <c:numCache>
                <c:formatCode>0.00</c:formatCode>
                <c:ptCount val="9"/>
                <c:pt idx="0">
                  <c:v>215.99999999999986</c:v>
                </c:pt>
                <c:pt idx="1">
                  <c:v>231.99999999999986</c:v>
                </c:pt>
                <c:pt idx="2">
                  <c:v>239.99999999999986</c:v>
                </c:pt>
                <c:pt idx="3">
                  <c:v>239.99999999999986</c:v>
                </c:pt>
                <c:pt idx="4">
                  <c:v>239.99999999999986</c:v>
                </c:pt>
                <c:pt idx="5">
                  <c:v>239.99999999999986</c:v>
                </c:pt>
                <c:pt idx="6">
                  <c:v>239.99999999999986</c:v>
                </c:pt>
                <c:pt idx="7">
                  <c:v>239.99999999999986</c:v>
                </c:pt>
                <c:pt idx="8">
                  <c:v>239.99999999999986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0-302C-41CB-91CF-F55759892CCC}"/>
            </c:ext>
          </c:extLst>
        </c:ser>
        <c:ser>
          <c:idx val="1"/>
          <c:order val="1"/>
          <c:tx>
            <c:v>НАКОПИТЕЛЬНО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Персонал!$F$10:$N$11</c:f>
              <c:strCache>
                <c:ptCount val="9"/>
                <c:pt idx="0">
                  <c:v>KOTENKO YURII E</c:v>
                </c:pt>
                <c:pt idx="1">
                  <c:v>GAMAGA SERHII E</c:v>
                </c:pt>
                <c:pt idx="2">
                  <c:v>MINIUK SERHII E</c:v>
                </c:pt>
                <c:pt idx="3">
                  <c:v>SKYBA VITALII E
</c:v>
                </c:pt>
                <c:pt idx="4">
                  <c:v>SKYBA MIKOLAJ E</c:v>
                </c:pt>
                <c:pt idx="5">
                  <c:v>SLOBODIAN OLEKSII E</c:v>
                </c:pt>
                <c:pt idx="6">
                  <c:v>KUCHERIAVYI MYKHAILO E</c:v>
                </c:pt>
                <c:pt idx="7">
                  <c:v>BALANIUK ILLIA E</c:v>
                </c:pt>
                <c:pt idx="8">
                  <c:v>BALANIUK SERHII E</c:v>
                </c:pt>
              </c:strCache>
            </c:strRef>
          </c:cat>
          <c:val>
            <c:numRef>
              <c:f>Персонал!$F$15:$N$15</c:f>
              <c:numCache>
                <c:formatCode>_-* #,##0.00\ [$PLN]_-;\-* #,##0.00\ [$PLN]_-;_-* "-"??\ [$PLN]_-;_-@_-</c:formatCode>
                <c:ptCount val="9"/>
                <c:pt idx="0">
                  <c:v>2591.9999999999982</c:v>
                </c:pt>
                <c:pt idx="1">
                  <c:v>1855.9999999999989</c:v>
                </c:pt>
                <c:pt idx="2">
                  <c:v>2879.9999999999982</c:v>
                </c:pt>
                <c:pt idx="3">
                  <c:v>3599.9999999999977</c:v>
                </c:pt>
                <c:pt idx="4">
                  <c:v>2879.9999999999982</c:v>
                </c:pt>
                <c:pt idx="5">
                  <c:v>2399.9999999999986</c:v>
                </c:pt>
                <c:pt idx="6">
                  <c:v>2879.9999999999982</c:v>
                </c:pt>
                <c:pt idx="7">
                  <c:v>1679.9999999999991</c:v>
                </c:pt>
                <c:pt idx="8">
                  <c:v>2279.9999999999986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1-302C-41CB-91CF-F55759892C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lt1">
                  <a:lumMod val="95000"/>
                  <a:alpha val="54000"/>
                </a:schemeClr>
              </a:solidFill>
              <a:prstDash val="dash"/>
            </a:ln>
            <a:effectLst/>
          </c:spPr>
        </c:hiLowLines>
        <c:marker val="1"/>
        <c:smooth val="0"/>
        <c:axId val="81154048"/>
        <c:axId val="182697280"/>
      </c:lineChart>
      <c:dateAx>
        <c:axId val="8115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97280"/>
        <c:crosses val="autoZero"/>
        <c:auto val="0"/>
        <c:lblOffset val="100"/>
        <c:baseTimeUnit val="days"/>
        <c:majorUnit val="1"/>
      </c:dateAx>
      <c:valAx>
        <c:axId val="182697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1154048"/>
        <c:crosses val="max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3.7403141066073751E-2"/>
          <c:y val="4.51227463053530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974951634325104E-2"/>
          <c:y val="0.10271008657824912"/>
          <c:w val="0.79668345143751162"/>
          <c:h val="0.77546844457393049"/>
        </c:manualLayout>
      </c:layout>
      <c:pie3DChart>
        <c:varyColors val="1"/>
        <c:ser>
          <c:idx val="0"/>
          <c:order val="0"/>
          <c:tx>
            <c:v>СОПОСТОВЛЕНИЕ </c:v>
          </c:tx>
          <c:dPt>
            <c:idx val="0"/>
            <c:bubble3D val="0"/>
            <c:explosion val="31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1318-4E92-BA95-5202BE862F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F0-466A-9845-D7E99C9F30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РАСХОДЫ</c:v>
              </c:pt>
            </c:strLit>
          </c:cat>
          <c:val>
            <c:numRef>
              <c:f>Персонал!$C$10:$D$10</c:f>
              <c:numCache>
                <c:formatCode>General</c:formatCode>
                <c:ptCount val="2"/>
                <c:pt idx="0" formatCode="_-* #,##0.00\ [$PLN]_-;\-* #,##0.00\ [$PLN]_-;_-* &quot;-&quot;??\ [$PLN]_-;_-@_-">
                  <c:v>23047.999999999985</c:v>
                </c:pt>
                <c:pt idx="1">
                  <c:v>30000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1318-4E92-BA95-5202BE862F41}"/>
            </c:ext>
          </c:extLst>
        </c:ser>
        <c:dLbls>
          <c:dLblPos val="inEnd"/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509867</xdr:colOff>
      <xdr:row>46</xdr:row>
      <xdr:rowOff>141191</xdr:rowOff>
    </xdr:from>
    <xdr:to>
      <xdr:col>17</xdr:col>
      <xdr:colOff>212911</xdr:colOff>
      <xdr:row>72</xdr:row>
      <xdr:rowOff>190498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4C9E95BD-9462-40E8-A706-A4DACBC2E1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330573</xdr:colOff>
      <xdr:row>46</xdr:row>
      <xdr:rowOff>152399</xdr:rowOff>
    </xdr:from>
    <xdr:to>
      <xdr:col>22</xdr:col>
      <xdr:colOff>224118</xdr:colOff>
      <xdr:row>64</xdr:row>
      <xdr:rowOff>179294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78C7B395-749F-4F3B-A02B-EF83596E1E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OTENKO%20YURII%20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MAGA%20SERHII%20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MINIUK%20SERHII%20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SKYBA%20VITALII%20E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SKYBA%20MIKOLAJ%20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LOBODIAN%20OLEKSII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KUCHERIAVYI%20MYKHAILO%20E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BALANIUK%20ILLIA%20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BALANIUK%20SERHII%20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Zapa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Zapa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Zapas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/>
      <sheetData sheetId="1">
        <row r="4">
          <cell r="C4">
            <v>0</v>
          </cell>
        </row>
        <row r="5">
          <cell r="C5">
            <v>8</v>
          </cell>
        </row>
        <row r="6">
          <cell r="C6">
            <v>8</v>
          </cell>
        </row>
        <row r="7">
          <cell r="C7">
            <v>8</v>
          </cell>
        </row>
        <row r="8">
          <cell r="C8">
            <v>8</v>
          </cell>
        </row>
        <row r="9">
          <cell r="C9">
            <v>7.9999999999999911</v>
          </cell>
        </row>
        <row r="10">
          <cell r="C10">
            <v>7.9999999999999911</v>
          </cell>
        </row>
        <row r="11">
          <cell r="C11">
            <v>0</v>
          </cell>
        </row>
        <row r="12">
          <cell r="C12">
            <v>7.9999999999999911</v>
          </cell>
        </row>
        <row r="13">
          <cell r="C13">
            <v>7.9999999999999911</v>
          </cell>
        </row>
        <row r="14">
          <cell r="C14">
            <v>7.9999999999999911</v>
          </cell>
        </row>
        <row r="15">
          <cell r="C15">
            <v>7.9999999999999911</v>
          </cell>
        </row>
        <row r="16">
          <cell r="C16">
            <v>7.9999999999999911</v>
          </cell>
        </row>
        <row r="17">
          <cell r="C17">
            <v>7.9999999999999911</v>
          </cell>
        </row>
        <row r="18">
          <cell r="C18">
            <v>7.9999999999999911</v>
          </cell>
        </row>
        <row r="19">
          <cell r="C19">
            <v>7.9999999999999911</v>
          </cell>
        </row>
        <row r="20">
          <cell r="C20">
            <v>7.9999999999999911</v>
          </cell>
        </row>
        <row r="21">
          <cell r="C21">
            <v>7.9999999999999911</v>
          </cell>
        </row>
        <row r="22">
          <cell r="C22">
            <v>0</v>
          </cell>
        </row>
        <row r="23">
          <cell r="C23">
            <v>7.9999999999999911</v>
          </cell>
        </row>
        <row r="24">
          <cell r="C24">
            <v>7.9999999999999911</v>
          </cell>
        </row>
        <row r="25">
          <cell r="C25">
            <v>7.9999999999999911</v>
          </cell>
        </row>
        <row r="26">
          <cell r="C26">
            <v>7.9999999999999911</v>
          </cell>
        </row>
        <row r="27">
          <cell r="C27">
            <v>7.9999999999999911</v>
          </cell>
        </row>
        <row r="28">
          <cell r="C28">
            <v>7.9999999999999911</v>
          </cell>
        </row>
        <row r="29">
          <cell r="C29">
            <v>7.9999999999999911</v>
          </cell>
        </row>
        <row r="30">
          <cell r="C30">
            <v>7.9999999999999911</v>
          </cell>
        </row>
        <row r="31">
          <cell r="C31">
            <v>7.9999999999999911</v>
          </cell>
        </row>
        <row r="32">
          <cell r="C32">
            <v>7.9999999999999911</v>
          </cell>
        </row>
        <row r="33">
          <cell r="C33">
            <v>7.9999999999999911</v>
          </cell>
        </row>
        <row r="34">
          <cell r="C34">
            <v>7.9999999999999911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 refreshError="1"/>
      <sheetData sheetId="1">
        <row r="4">
          <cell r="C4">
            <v>8</v>
          </cell>
        </row>
        <row r="5">
          <cell r="C5">
            <v>0</v>
          </cell>
        </row>
        <row r="6">
          <cell r="C6">
            <v>8</v>
          </cell>
        </row>
        <row r="7">
          <cell r="C7">
            <v>8</v>
          </cell>
        </row>
        <row r="8">
          <cell r="C8">
            <v>8</v>
          </cell>
        </row>
        <row r="9">
          <cell r="C9">
            <v>7.9999999999999911</v>
          </cell>
        </row>
        <row r="10">
          <cell r="C10">
            <v>7.9999999999999911</v>
          </cell>
        </row>
        <row r="11">
          <cell r="C11">
            <v>7.9999999999999911</v>
          </cell>
        </row>
        <row r="12">
          <cell r="C12">
            <v>7.9999999999999911</v>
          </cell>
        </row>
        <row r="13">
          <cell r="C13">
            <v>7.9999999999999911</v>
          </cell>
        </row>
        <row r="14">
          <cell r="C14">
            <v>7.9999999999999911</v>
          </cell>
        </row>
        <row r="15">
          <cell r="C15">
            <v>7.9999999999999911</v>
          </cell>
        </row>
        <row r="16">
          <cell r="C16">
            <v>7.9999999999999911</v>
          </cell>
        </row>
        <row r="17">
          <cell r="C17">
            <v>7.9999999999999911</v>
          </cell>
        </row>
        <row r="18">
          <cell r="C18">
            <v>7.9999999999999911</v>
          </cell>
        </row>
        <row r="19">
          <cell r="C19">
            <v>7.9999999999999911</v>
          </cell>
        </row>
        <row r="20">
          <cell r="C20">
            <v>7.9999999999999911</v>
          </cell>
        </row>
        <row r="21">
          <cell r="C21">
            <v>7.9999999999999911</v>
          </cell>
        </row>
        <row r="22">
          <cell r="C22">
            <v>7.9999999999999911</v>
          </cell>
        </row>
        <row r="23">
          <cell r="C23">
            <v>7.9999999999999911</v>
          </cell>
        </row>
        <row r="24">
          <cell r="C24">
            <v>7.9999999999999911</v>
          </cell>
        </row>
        <row r="25">
          <cell r="C25">
            <v>7.9999999999999911</v>
          </cell>
        </row>
        <row r="26">
          <cell r="C26">
            <v>7.9999999999999911</v>
          </cell>
        </row>
        <row r="27">
          <cell r="C27">
            <v>7.9999999999999911</v>
          </cell>
        </row>
        <row r="28">
          <cell r="C28">
            <v>7.9999999999999911</v>
          </cell>
        </row>
        <row r="29">
          <cell r="C29">
            <v>7.9999999999999911</v>
          </cell>
        </row>
        <row r="30">
          <cell r="C30">
            <v>7.9999999999999911</v>
          </cell>
        </row>
        <row r="31">
          <cell r="C31">
            <v>7.9999999999999911</v>
          </cell>
        </row>
        <row r="32">
          <cell r="C32">
            <v>7.9999999999999911</v>
          </cell>
        </row>
        <row r="33">
          <cell r="C33">
            <v>7.9999999999999911</v>
          </cell>
        </row>
        <row r="34">
          <cell r="C34">
            <v>7.9999999999999911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 refreshError="1"/>
      <sheetData sheetId="1">
        <row r="4">
          <cell r="C4">
            <v>8</v>
          </cell>
        </row>
        <row r="5">
          <cell r="C5">
            <v>8</v>
          </cell>
        </row>
        <row r="6">
          <cell r="C6">
            <v>8</v>
          </cell>
        </row>
        <row r="7">
          <cell r="C7">
            <v>8</v>
          </cell>
        </row>
        <row r="8">
          <cell r="C8">
            <v>8</v>
          </cell>
        </row>
        <row r="9">
          <cell r="C9">
            <v>7.9999999999999911</v>
          </cell>
        </row>
        <row r="10">
          <cell r="C10">
            <v>7.9999999999999911</v>
          </cell>
        </row>
        <row r="11">
          <cell r="C11">
            <v>7.9999999999999911</v>
          </cell>
        </row>
        <row r="12">
          <cell r="C12">
            <v>7.9999999999999911</v>
          </cell>
        </row>
        <row r="13">
          <cell r="C13">
            <v>7.9999999999999911</v>
          </cell>
        </row>
        <row r="14">
          <cell r="C14">
            <v>7.9999999999999911</v>
          </cell>
        </row>
        <row r="15">
          <cell r="C15">
            <v>7.9999999999999911</v>
          </cell>
        </row>
        <row r="16">
          <cell r="C16">
            <v>7.9999999999999911</v>
          </cell>
        </row>
        <row r="17">
          <cell r="C17">
            <v>7.9999999999999911</v>
          </cell>
        </row>
        <row r="18">
          <cell r="C18">
            <v>7.9999999999999911</v>
          </cell>
        </row>
        <row r="19">
          <cell r="C19">
            <v>7.9999999999999911</v>
          </cell>
        </row>
        <row r="20">
          <cell r="C20">
            <v>7.9999999999999911</v>
          </cell>
        </row>
        <row r="21">
          <cell r="C21">
            <v>7.9999999999999911</v>
          </cell>
        </row>
        <row r="22">
          <cell r="C22">
            <v>7.9999999999999911</v>
          </cell>
        </row>
        <row r="23">
          <cell r="C23">
            <v>7.9999999999999911</v>
          </cell>
        </row>
        <row r="24">
          <cell r="C24">
            <v>7.9999999999999911</v>
          </cell>
        </row>
        <row r="25">
          <cell r="C25">
            <v>7.9999999999999911</v>
          </cell>
        </row>
        <row r="26">
          <cell r="C26">
            <v>7.9999999999999911</v>
          </cell>
        </row>
        <row r="27">
          <cell r="C27">
            <v>7.9999999999999911</v>
          </cell>
        </row>
        <row r="28">
          <cell r="C28">
            <v>7.9999999999999911</v>
          </cell>
        </row>
        <row r="29">
          <cell r="C29">
            <v>7.9999999999999911</v>
          </cell>
        </row>
        <row r="30">
          <cell r="C30">
            <v>7.9999999999999911</v>
          </cell>
        </row>
        <row r="31">
          <cell r="C31">
            <v>7.9999999999999911</v>
          </cell>
        </row>
        <row r="32">
          <cell r="C32">
            <v>7.9999999999999911</v>
          </cell>
        </row>
        <row r="33">
          <cell r="C33">
            <v>7.9999999999999911</v>
          </cell>
        </row>
        <row r="34">
          <cell r="C34">
            <v>7.9999999999999911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/>
      <sheetData sheetId="1">
        <row r="4">
          <cell r="C4">
            <v>8</v>
          </cell>
        </row>
        <row r="5">
          <cell r="C5">
            <v>8</v>
          </cell>
        </row>
        <row r="6">
          <cell r="C6">
            <v>8</v>
          </cell>
        </row>
        <row r="7">
          <cell r="C7">
            <v>8</v>
          </cell>
        </row>
        <row r="8">
          <cell r="C8">
            <v>8</v>
          </cell>
        </row>
        <row r="9">
          <cell r="C9">
            <v>7.9999999999999911</v>
          </cell>
        </row>
        <row r="10">
          <cell r="C10">
            <v>7.9999999999999911</v>
          </cell>
        </row>
        <row r="11">
          <cell r="C11">
            <v>7.9999999999999911</v>
          </cell>
        </row>
        <row r="12">
          <cell r="C12">
            <v>7.9999999999999911</v>
          </cell>
        </row>
        <row r="13">
          <cell r="C13">
            <v>7.9999999999999911</v>
          </cell>
        </row>
        <row r="14">
          <cell r="C14">
            <v>7.9999999999999911</v>
          </cell>
        </row>
        <row r="15">
          <cell r="C15">
            <v>7.9999999999999911</v>
          </cell>
        </row>
        <row r="16">
          <cell r="C16">
            <v>7.9999999999999911</v>
          </cell>
        </row>
        <row r="17">
          <cell r="C17">
            <v>7.9999999999999911</v>
          </cell>
        </row>
        <row r="18">
          <cell r="C18">
            <v>7.9999999999999911</v>
          </cell>
        </row>
        <row r="19">
          <cell r="C19">
            <v>7.9999999999999911</v>
          </cell>
        </row>
        <row r="20">
          <cell r="C20">
            <v>7.9999999999999911</v>
          </cell>
        </row>
        <row r="21">
          <cell r="C21">
            <v>7.9999999999999911</v>
          </cell>
        </row>
        <row r="22">
          <cell r="C22">
            <v>7.9999999999999911</v>
          </cell>
        </row>
        <row r="23">
          <cell r="C23">
            <v>7.9999999999999911</v>
          </cell>
        </row>
        <row r="24">
          <cell r="C24">
            <v>7.9999999999999911</v>
          </cell>
        </row>
        <row r="25">
          <cell r="C25">
            <v>7.9999999999999911</v>
          </cell>
        </row>
        <row r="26">
          <cell r="C26">
            <v>7.9999999999999911</v>
          </cell>
        </row>
        <row r="27">
          <cell r="C27">
            <v>7.9999999999999911</v>
          </cell>
        </row>
        <row r="28">
          <cell r="C28">
            <v>7.9999999999999911</v>
          </cell>
        </row>
        <row r="29">
          <cell r="C29">
            <v>7.9999999999999911</v>
          </cell>
        </row>
        <row r="30">
          <cell r="C30">
            <v>7.9999999999999911</v>
          </cell>
        </row>
        <row r="31">
          <cell r="C31">
            <v>7.9999999999999911</v>
          </cell>
        </row>
        <row r="32">
          <cell r="C32">
            <v>7.9999999999999911</v>
          </cell>
        </row>
        <row r="33">
          <cell r="C33">
            <v>7.9999999999999911</v>
          </cell>
        </row>
        <row r="34">
          <cell r="C34">
            <v>7.9999999999999911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/>
      <sheetData sheetId="1">
        <row r="4">
          <cell r="C4">
            <v>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/>
      <sheetData sheetId="1">
        <row r="4">
          <cell r="C4">
            <v>8</v>
          </cell>
        </row>
        <row r="5">
          <cell r="C5">
            <v>8</v>
          </cell>
        </row>
        <row r="6">
          <cell r="C6">
            <v>8</v>
          </cell>
        </row>
        <row r="7">
          <cell r="C7">
            <v>8</v>
          </cell>
        </row>
        <row r="8">
          <cell r="C8">
            <v>8</v>
          </cell>
        </row>
        <row r="9">
          <cell r="C9">
            <v>7.9999999999999911</v>
          </cell>
        </row>
        <row r="10">
          <cell r="C10">
            <v>7.9999999999999911</v>
          </cell>
        </row>
        <row r="11">
          <cell r="C11">
            <v>7.9999999999999911</v>
          </cell>
        </row>
        <row r="12">
          <cell r="C12">
            <v>7.9999999999999911</v>
          </cell>
        </row>
        <row r="13">
          <cell r="C13">
            <v>7.9999999999999911</v>
          </cell>
        </row>
        <row r="14">
          <cell r="C14">
            <v>7.9999999999999911</v>
          </cell>
        </row>
        <row r="15">
          <cell r="C15">
            <v>7.9999999999999911</v>
          </cell>
        </row>
        <row r="16">
          <cell r="C16">
            <v>7.9999999999999911</v>
          </cell>
        </row>
        <row r="17">
          <cell r="C17">
            <v>7.9999999999999911</v>
          </cell>
        </row>
        <row r="18">
          <cell r="C18">
            <v>7.9999999999999911</v>
          </cell>
        </row>
        <row r="19">
          <cell r="C19">
            <v>7.9999999999999911</v>
          </cell>
        </row>
        <row r="20">
          <cell r="C20">
            <v>7.9999999999999911</v>
          </cell>
        </row>
        <row r="21">
          <cell r="C21">
            <v>7.9999999999999911</v>
          </cell>
        </row>
        <row r="22">
          <cell r="C22">
            <v>7.9999999999999911</v>
          </cell>
        </row>
        <row r="23">
          <cell r="C23">
            <v>7.9999999999999911</v>
          </cell>
        </row>
        <row r="24">
          <cell r="C24">
            <v>7.9999999999999911</v>
          </cell>
        </row>
        <row r="25">
          <cell r="C25">
            <v>7.9999999999999911</v>
          </cell>
        </row>
        <row r="26">
          <cell r="C26">
            <v>7.9999999999999911</v>
          </cell>
        </row>
        <row r="27">
          <cell r="C27">
            <v>7.9999999999999911</v>
          </cell>
        </row>
        <row r="28">
          <cell r="C28">
            <v>7.9999999999999911</v>
          </cell>
        </row>
        <row r="29">
          <cell r="C29">
            <v>7.9999999999999911</v>
          </cell>
        </row>
        <row r="30">
          <cell r="C30">
            <v>7.9999999999999911</v>
          </cell>
        </row>
        <row r="31">
          <cell r="C31">
            <v>7.9999999999999911</v>
          </cell>
        </row>
        <row r="32">
          <cell r="C32">
            <v>7.9999999999999911</v>
          </cell>
        </row>
        <row r="33">
          <cell r="C33">
            <v>7.9999999999999911</v>
          </cell>
        </row>
        <row r="34">
          <cell r="C34">
            <v>7.9999999999999911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/>
      <sheetData sheetId="1">
        <row r="4">
          <cell r="C4">
            <v>8</v>
          </cell>
        </row>
        <row r="5">
          <cell r="C5">
            <v>8</v>
          </cell>
        </row>
        <row r="6">
          <cell r="C6">
            <v>8</v>
          </cell>
        </row>
        <row r="7">
          <cell r="C7">
            <v>8</v>
          </cell>
        </row>
        <row r="8">
          <cell r="C8">
            <v>8</v>
          </cell>
        </row>
        <row r="9">
          <cell r="C9">
            <v>7.9999999999999911</v>
          </cell>
        </row>
        <row r="10">
          <cell r="C10">
            <v>7.9999999999999911</v>
          </cell>
        </row>
        <row r="11">
          <cell r="C11">
            <v>7.9999999999999911</v>
          </cell>
        </row>
        <row r="12">
          <cell r="C12">
            <v>7.9999999999999911</v>
          </cell>
        </row>
        <row r="13">
          <cell r="C13">
            <v>7.9999999999999911</v>
          </cell>
        </row>
        <row r="14">
          <cell r="C14">
            <v>7.9999999999999911</v>
          </cell>
        </row>
        <row r="15">
          <cell r="C15">
            <v>7.9999999999999911</v>
          </cell>
        </row>
        <row r="16">
          <cell r="C16">
            <v>7.9999999999999911</v>
          </cell>
        </row>
        <row r="17">
          <cell r="C17">
            <v>7.9999999999999911</v>
          </cell>
        </row>
        <row r="18">
          <cell r="C18">
            <v>7.9999999999999911</v>
          </cell>
        </row>
        <row r="19">
          <cell r="C19">
            <v>7.9999999999999911</v>
          </cell>
        </row>
        <row r="20">
          <cell r="C20">
            <v>7.9999999999999911</v>
          </cell>
        </row>
        <row r="21">
          <cell r="C21">
            <v>7.9999999999999911</v>
          </cell>
        </row>
        <row r="22">
          <cell r="C22">
            <v>7.9999999999999911</v>
          </cell>
        </row>
        <row r="23">
          <cell r="C23">
            <v>7.9999999999999911</v>
          </cell>
        </row>
        <row r="24">
          <cell r="C24">
            <v>7.9999999999999911</v>
          </cell>
        </row>
        <row r="25">
          <cell r="C25">
            <v>7.9999999999999911</v>
          </cell>
        </row>
        <row r="26">
          <cell r="C26">
            <v>7.9999999999999911</v>
          </cell>
        </row>
        <row r="27">
          <cell r="C27">
            <v>7.9999999999999911</v>
          </cell>
        </row>
        <row r="28">
          <cell r="C28">
            <v>7.9999999999999911</v>
          </cell>
        </row>
        <row r="29">
          <cell r="C29">
            <v>7.9999999999999911</v>
          </cell>
        </row>
        <row r="30">
          <cell r="C30">
            <v>7.9999999999999911</v>
          </cell>
        </row>
        <row r="31">
          <cell r="C31">
            <v>7.9999999999999911</v>
          </cell>
        </row>
        <row r="32">
          <cell r="C32">
            <v>7.9999999999999911</v>
          </cell>
        </row>
        <row r="33">
          <cell r="C33">
            <v>7.9999999999999911</v>
          </cell>
        </row>
        <row r="34">
          <cell r="C34">
            <v>7.9999999999999911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 refreshError="1"/>
      <sheetData sheetId="1">
        <row r="4">
          <cell r="C4">
            <v>8</v>
          </cell>
        </row>
        <row r="5">
          <cell r="C5">
            <v>8</v>
          </cell>
        </row>
        <row r="6">
          <cell r="C6">
            <v>8</v>
          </cell>
        </row>
        <row r="7">
          <cell r="C7">
            <v>8</v>
          </cell>
        </row>
        <row r="8">
          <cell r="C8">
            <v>8</v>
          </cell>
        </row>
        <row r="9">
          <cell r="C9">
            <v>7.9999999999999911</v>
          </cell>
        </row>
        <row r="10">
          <cell r="C10">
            <v>7.9999999999999911</v>
          </cell>
        </row>
        <row r="11">
          <cell r="C11">
            <v>7.9999999999999911</v>
          </cell>
        </row>
        <row r="12">
          <cell r="C12">
            <v>7.9999999999999911</v>
          </cell>
        </row>
        <row r="13">
          <cell r="C13">
            <v>7.9999999999999911</v>
          </cell>
        </row>
        <row r="14">
          <cell r="C14">
            <v>7.9999999999999911</v>
          </cell>
        </row>
        <row r="15">
          <cell r="C15">
            <v>7.9999999999999911</v>
          </cell>
        </row>
        <row r="16">
          <cell r="C16">
            <v>7.9999999999999911</v>
          </cell>
        </row>
        <row r="17">
          <cell r="C17">
            <v>7.9999999999999911</v>
          </cell>
        </row>
        <row r="18">
          <cell r="C18">
            <v>7.9999999999999911</v>
          </cell>
        </row>
        <row r="19">
          <cell r="C19">
            <v>7.9999999999999911</v>
          </cell>
        </row>
        <row r="20">
          <cell r="C20">
            <v>7.9999999999999911</v>
          </cell>
        </row>
        <row r="21">
          <cell r="C21">
            <v>7.9999999999999911</v>
          </cell>
        </row>
        <row r="22">
          <cell r="C22">
            <v>7.9999999999999911</v>
          </cell>
        </row>
        <row r="23">
          <cell r="C23">
            <v>7.9999999999999911</v>
          </cell>
        </row>
        <row r="24">
          <cell r="C24">
            <v>7.9999999999999911</v>
          </cell>
        </row>
        <row r="25">
          <cell r="C25">
            <v>7.9999999999999911</v>
          </cell>
        </row>
        <row r="26">
          <cell r="C26">
            <v>7.9999999999999911</v>
          </cell>
        </row>
        <row r="27">
          <cell r="C27">
            <v>7.9999999999999911</v>
          </cell>
        </row>
        <row r="28">
          <cell r="C28">
            <v>7.9999999999999911</v>
          </cell>
        </row>
        <row r="29">
          <cell r="C29">
            <v>7.9999999999999911</v>
          </cell>
        </row>
        <row r="30">
          <cell r="C30">
            <v>7.9999999999999911</v>
          </cell>
        </row>
        <row r="31">
          <cell r="C31">
            <v>7.9999999999999911</v>
          </cell>
        </row>
        <row r="32">
          <cell r="C32">
            <v>7.9999999999999911</v>
          </cell>
        </row>
        <row r="33">
          <cell r="C33">
            <v>7.9999999999999911</v>
          </cell>
        </row>
        <row r="34">
          <cell r="C34">
            <v>7.9999999999999911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/>
      <sheetData sheetId="1">
        <row r="4">
          <cell r="C4">
            <v>8</v>
          </cell>
        </row>
        <row r="5">
          <cell r="C5">
            <v>8</v>
          </cell>
        </row>
        <row r="6">
          <cell r="C6">
            <v>8</v>
          </cell>
        </row>
        <row r="7">
          <cell r="C7">
            <v>8</v>
          </cell>
        </row>
        <row r="8">
          <cell r="C8">
            <v>8</v>
          </cell>
        </row>
        <row r="9">
          <cell r="C9">
            <v>7.9999999999999911</v>
          </cell>
        </row>
        <row r="10">
          <cell r="C10">
            <v>7.9999999999999911</v>
          </cell>
        </row>
        <row r="11">
          <cell r="C11">
            <v>7.9999999999999911</v>
          </cell>
        </row>
        <row r="12">
          <cell r="C12">
            <v>7.9999999999999911</v>
          </cell>
        </row>
        <row r="13">
          <cell r="C13">
            <v>7.9999999999999911</v>
          </cell>
        </row>
        <row r="14">
          <cell r="C14">
            <v>7.9999999999999911</v>
          </cell>
        </row>
        <row r="15">
          <cell r="C15">
            <v>7.9999999999999911</v>
          </cell>
        </row>
        <row r="16">
          <cell r="C16">
            <v>7.9999999999999911</v>
          </cell>
        </row>
        <row r="17">
          <cell r="C17">
            <v>7.9999999999999911</v>
          </cell>
        </row>
        <row r="18">
          <cell r="C18">
            <v>7.9999999999999911</v>
          </cell>
        </row>
        <row r="19">
          <cell r="C19">
            <v>7.9999999999999911</v>
          </cell>
        </row>
        <row r="20">
          <cell r="C20">
            <v>7.9999999999999911</v>
          </cell>
        </row>
        <row r="21">
          <cell r="C21">
            <v>7.9999999999999911</v>
          </cell>
        </row>
        <row r="22">
          <cell r="C22">
            <v>7.9999999999999911</v>
          </cell>
        </row>
        <row r="23">
          <cell r="C23">
            <v>7.9999999999999911</v>
          </cell>
        </row>
        <row r="24">
          <cell r="C24">
            <v>7.9999999999999911</v>
          </cell>
        </row>
        <row r="25">
          <cell r="C25">
            <v>7.9999999999999911</v>
          </cell>
        </row>
        <row r="26">
          <cell r="C26">
            <v>7.9999999999999911</v>
          </cell>
        </row>
        <row r="27">
          <cell r="C27">
            <v>7.9999999999999911</v>
          </cell>
        </row>
        <row r="28">
          <cell r="C28">
            <v>7.9999999999999911</v>
          </cell>
        </row>
        <row r="29">
          <cell r="C29">
            <v>7.9999999999999911</v>
          </cell>
        </row>
        <row r="30">
          <cell r="C30">
            <v>7.9999999999999911</v>
          </cell>
        </row>
        <row r="31">
          <cell r="C31">
            <v>7.9999999999999911</v>
          </cell>
        </row>
        <row r="32">
          <cell r="C32">
            <v>7.9999999999999911</v>
          </cell>
        </row>
        <row r="33">
          <cell r="C33">
            <v>7.9999999999999911</v>
          </cell>
        </row>
        <row r="34">
          <cell r="C34">
            <v>7.9999999999999911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/>
      <sheetData sheetId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/>
      <sheetData sheetId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екабрь"/>
      <sheetName val="Front and office"/>
    </sheet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name="?utm_source=yan&amp;utm_medium=cpc&amp;utm_campaign=ove&amp;yclid=18397570924582805906" growShrinkType="insertClear" fillFormulas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BALANIUK%20ILLIA%20E.xlsx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MINIUK%20SERHII%20E.xlsx" TargetMode="External"/><Relationship Id="rId7" Type="http://schemas.openxmlformats.org/officeDocument/2006/relationships/hyperlink" Target="KUCHERIAVYI%20MYKHAILO%20E.xlsx" TargetMode="External"/><Relationship Id="rId12" Type="http://schemas.openxmlformats.org/officeDocument/2006/relationships/hyperlink" Target="Zapas3.xlsx" TargetMode="External"/><Relationship Id="rId17" Type="http://schemas.openxmlformats.org/officeDocument/2006/relationships/comments" Target="../comments1.xml"/><Relationship Id="rId2" Type="http://schemas.openxmlformats.org/officeDocument/2006/relationships/hyperlink" Target="GAMAGA%20SERHII%20E.xlsx" TargetMode="External"/><Relationship Id="rId16" Type="http://schemas.openxmlformats.org/officeDocument/2006/relationships/queryTable" Target="../queryTables/queryTable1.xml"/><Relationship Id="rId1" Type="http://schemas.openxmlformats.org/officeDocument/2006/relationships/hyperlink" Target="KOTENKO%20YURII%20E.xlsx" TargetMode="External"/><Relationship Id="rId6" Type="http://schemas.openxmlformats.org/officeDocument/2006/relationships/hyperlink" Target="SLOBODIAN%20OLEKSII%20E.xlsx" TargetMode="External"/><Relationship Id="rId11" Type="http://schemas.openxmlformats.org/officeDocument/2006/relationships/hyperlink" Target="Zapas2.xlsx" TargetMode="External"/><Relationship Id="rId5" Type="http://schemas.openxmlformats.org/officeDocument/2006/relationships/hyperlink" Target="SKYBA%20MIKOLAJ%20E.xlsx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Zapas1.xlsx" TargetMode="External"/><Relationship Id="rId4" Type="http://schemas.openxmlformats.org/officeDocument/2006/relationships/hyperlink" Target="SKYBA%20VITALII%20E.xlsx" TargetMode="External"/><Relationship Id="rId9" Type="http://schemas.openxmlformats.org/officeDocument/2006/relationships/hyperlink" Target="BALANIUK%20SERHII%20E.xlsx" TargetMode="External"/><Relationship Id="rId1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MJ102"/>
  <sheetViews>
    <sheetView showGridLines="0" tabSelected="1" topLeftCell="A66" zoomScale="80" zoomScaleNormal="80" workbookViewId="0">
      <selection activeCell="G80" sqref="G80"/>
    </sheetView>
  </sheetViews>
  <sheetFormatPr defaultColWidth="8.7109375" defaultRowHeight="15" x14ac:dyDescent="0.25"/>
  <cols>
    <col min="1" max="1" width="8" style="8" customWidth="1"/>
    <col min="2" max="2" width="14" style="8" customWidth="1"/>
    <col min="3" max="3" width="13.85546875" style="8" customWidth="1"/>
    <col min="4" max="5" width="9" style="8" customWidth="1"/>
    <col min="6" max="11" width="12.7109375" style="8" customWidth="1"/>
    <col min="12" max="12" width="19.28515625" style="8" customWidth="1"/>
    <col min="13" max="13" width="13.85546875" style="8" customWidth="1"/>
    <col min="14" max="14" width="9.85546875" style="8" customWidth="1"/>
    <col min="15" max="15" width="8.140625" style="8" customWidth="1"/>
    <col min="16" max="16" width="18" style="8" customWidth="1"/>
    <col min="17" max="25" width="12.7109375" style="8" customWidth="1"/>
    <col min="26" max="16384" width="8.7109375" style="8"/>
  </cols>
  <sheetData>
    <row r="1" spans="1:348" hidden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</row>
    <row r="2" spans="1:348" ht="88.5" customHeight="1" thickBot="1" x14ac:dyDescent="0.3">
      <c r="A2" s="20"/>
      <c r="B2" s="33" t="s">
        <v>15</v>
      </c>
      <c r="C2" s="33"/>
      <c r="D2" s="33"/>
      <c r="E2" s="21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21"/>
      <c r="AA2" s="21"/>
      <c r="AB2" s="20"/>
      <c r="AC2" s="20"/>
      <c r="AD2" s="20"/>
    </row>
    <row r="3" spans="1:348" hidden="1" x14ac:dyDescent="0.25">
      <c r="A3" s="20"/>
      <c r="B3" s="20"/>
      <c r="C3" s="20"/>
      <c r="D3" s="21"/>
      <c r="E3" s="21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  <c r="AA3" s="21"/>
      <c r="AB3" s="20"/>
      <c r="AC3" s="20"/>
      <c r="AD3" s="20"/>
    </row>
    <row r="4" spans="1:348" hidden="1" x14ac:dyDescent="0.25">
      <c r="A4" s="20"/>
      <c r="B4" s="20"/>
      <c r="C4" s="20"/>
      <c r="D4" s="20"/>
      <c r="E4" s="21"/>
      <c r="F4" s="20"/>
      <c r="G4" s="20"/>
      <c r="H4" s="3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1"/>
      <c r="AA4" s="21"/>
      <c r="AB4" s="20"/>
      <c r="AC4" s="20"/>
      <c r="AD4" s="20"/>
    </row>
    <row r="5" spans="1:348" hidden="1" x14ac:dyDescent="0.25">
      <c r="A5" s="20"/>
      <c r="B5" s="20"/>
      <c r="C5" s="20"/>
      <c r="D5" s="20"/>
      <c r="E5" s="21"/>
      <c r="F5" s="20"/>
      <c r="G5" s="20"/>
      <c r="H5" s="3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1"/>
      <c r="AA5" s="21"/>
      <c r="AB5" s="20"/>
      <c r="AC5" s="20"/>
      <c r="AD5" s="20"/>
    </row>
    <row r="6" spans="1:348" x14ac:dyDescent="0.25">
      <c r="A6" s="20"/>
      <c r="B6" s="34" t="s">
        <v>35</v>
      </c>
      <c r="C6" s="37">
        <f ca="1">TODAY()</f>
        <v>43117</v>
      </c>
      <c r="D6" s="20"/>
      <c r="E6" s="101" t="s">
        <v>19</v>
      </c>
      <c r="F6" s="100" t="s">
        <v>63</v>
      </c>
      <c r="G6" s="96" t="s">
        <v>64</v>
      </c>
      <c r="H6" s="96" t="s">
        <v>62</v>
      </c>
      <c r="I6" s="96" t="s">
        <v>62</v>
      </c>
      <c r="J6" s="96" t="s">
        <v>62</v>
      </c>
      <c r="K6" s="96" t="s">
        <v>62</v>
      </c>
      <c r="L6" s="96" t="s">
        <v>62</v>
      </c>
      <c r="M6" s="96" t="s">
        <v>62</v>
      </c>
      <c r="N6" s="96" t="s">
        <v>62</v>
      </c>
      <c r="O6" s="96" t="s">
        <v>62</v>
      </c>
      <c r="P6" s="96" t="s">
        <v>62</v>
      </c>
      <c r="Q6" s="96" t="s">
        <v>62</v>
      </c>
      <c r="R6" s="96" t="s">
        <v>62</v>
      </c>
      <c r="S6" s="96" t="s">
        <v>62</v>
      </c>
      <c r="T6" s="96" t="s">
        <v>62</v>
      </c>
      <c r="U6" s="96" t="s">
        <v>62</v>
      </c>
      <c r="V6" s="96" t="s">
        <v>62</v>
      </c>
      <c r="W6" s="96" t="s">
        <v>62</v>
      </c>
      <c r="X6" s="96" t="s">
        <v>62</v>
      </c>
      <c r="Y6" s="98" t="s">
        <v>62</v>
      </c>
      <c r="Z6" s="21"/>
      <c r="AA6" s="21"/>
      <c r="AB6" s="20"/>
      <c r="AC6" s="20"/>
      <c r="AD6" s="20"/>
    </row>
    <row r="7" spans="1:348" x14ac:dyDescent="0.25">
      <c r="A7" s="20"/>
      <c r="B7" s="34" t="s">
        <v>25</v>
      </c>
      <c r="C7" s="31">
        <v>12</v>
      </c>
      <c r="D7" s="20"/>
      <c r="E7" s="102" t="s">
        <v>65</v>
      </c>
      <c r="F7" s="95" t="s">
        <v>49</v>
      </c>
      <c r="G7" s="95" t="s">
        <v>49</v>
      </c>
      <c r="H7" s="95" t="s">
        <v>49</v>
      </c>
      <c r="I7" s="95" t="s">
        <v>49</v>
      </c>
      <c r="J7" s="95" t="s">
        <v>49</v>
      </c>
      <c r="K7" s="95" t="s">
        <v>49</v>
      </c>
      <c r="L7" s="95" t="s">
        <v>49</v>
      </c>
      <c r="M7" s="95" t="s">
        <v>49</v>
      </c>
      <c r="N7" s="95" t="s">
        <v>49</v>
      </c>
      <c r="O7" s="95" t="s">
        <v>49</v>
      </c>
      <c r="P7" s="95" t="s">
        <v>49</v>
      </c>
      <c r="Q7" s="95" t="s">
        <v>49</v>
      </c>
      <c r="R7" s="95" t="s">
        <v>49</v>
      </c>
      <c r="S7" s="95" t="s">
        <v>49</v>
      </c>
      <c r="T7" s="95" t="s">
        <v>49</v>
      </c>
      <c r="U7" s="95" t="s">
        <v>49</v>
      </c>
      <c r="V7" s="95" t="s">
        <v>49</v>
      </c>
      <c r="W7" s="95" t="s">
        <v>49</v>
      </c>
      <c r="X7" s="95" t="s">
        <v>49</v>
      </c>
      <c r="Y7" s="99" t="s">
        <v>49</v>
      </c>
      <c r="Z7" s="21"/>
      <c r="AA7" s="21"/>
      <c r="AB7" s="20"/>
      <c r="AC7" s="20"/>
      <c r="AD7" s="20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</row>
    <row r="8" spans="1:348" s="16" customFormat="1" ht="16.5" customHeight="1" x14ac:dyDescent="0.25">
      <c r="A8" s="20"/>
      <c r="B8" s="35" t="s">
        <v>34</v>
      </c>
      <c r="C8" s="32">
        <v>2017</v>
      </c>
      <c r="D8" s="20"/>
      <c r="E8" s="20"/>
      <c r="F8" s="22">
        <v>12</v>
      </c>
      <c r="G8" s="22">
        <v>8</v>
      </c>
      <c r="H8" s="22">
        <v>12</v>
      </c>
      <c r="I8" s="22">
        <v>15</v>
      </c>
      <c r="J8" s="22">
        <v>12</v>
      </c>
      <c r="K8" s="22">
        <v>10</v>
      </c>
      <c r="L8" s="22">
        <v>12</v>
      </c>
      <c r="M8" s="22">
        <v>7</v>
      </c>
      <c r="N8" s="22">
        <v>9.5</v>
      </c>
      <c r="O8" s="22">
        <v>0</v>
      </c>
      <c r="P8" s="22">
        <v>0</v>
      </c>
      <c r="Q8" s="22">
        <v>0</v>
      </c>
      <c r="R8" s="22"/>
      <c r="S8" s="22"/>
      <c r="T8" s="22"/>
      <c r="U8" s="22"/>
      <c r="V8" s="22"/>
      <c r="W8" s="22"/>
      <c r="X8" s="22"/>
      <c r="Y8" s="22"/>
      <c r="Z8" s="20"/>
      <c r="AA8" s="20"/>
      <c r="AB8" s="20"/>
      <c r="AC8" s="20"/>
      <c r="AD8" s="20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</row>
    <row r="9" spans="1:348" ht="10.5" customHeight="1" x14ac:dyDescent="0.25">
      <c r="A9" s="20"/>
      <c r="B9" s="34" t="s">
        <v>33</v>
      </c>
      <c r="C9" s="31">
        <f>COUNT(F8:X8)</f>
        <v>12</v>
      </c>
      <c r="D9" s="20"/>
      <c r="E9" s="20"/>
      <c r="F9" s="23" t="s">
        <v>29</v>
      </c>
      <c r="G9" s="23" t="s">
        <v>29</v>
      </c>
      <c r="H9" s="23" t="s">
        <v>29</v>
      </c>
      <c r="I9" s="23" t="s">
        <v>29</v>
      </c>
      <c r="J9" s="23" t="s">
        <v>29</v>
      </c>
      <c r="K9" s="23" t="s">
        <v>29</v>
      </c>
      <c r="L9" s="23" t="s">
        <v>29</v>
      </c>
      <c r="M9" s="23" t="s">
        <v>29</v>
      </c>
      <c r="N9" s="23" t="s">
        <v>29</v>
      </c>
      <c r="O9" s="23" t="s">
        <v>29</v>
      </c>
      <c r="P9" s="23" t="s">
        <v>29</v>
      </c>
      <c r="Q9" s="23" t="s">
        <v>29</v>
      </c>
      <c r="R9" s="23" t="s">
        <v>29</v>
      </c>
      <c r="S9" s="23" t="s">
        <v>29</v>
      </c>
      <c r="T9" s="23" t="s">
        <v>29</v>
      </c>
      <c r="U9" s="23" t="s">
        <v>29</v>
      </c>
      <c r="V9" s="23" t="s">
        <v>29</v>
      </c>
      <c r="W9" s="23" t="s">
        <v>29</v>
      </c>
      <c r="X9" s="23" t="s">
        <v>29</v>
      </c>
      <c r="Y9" s="23" t="s">
        <v>29</v>
      </c>
      <c r="Z9" s="20"/>
      <c r="AA9" s="20"/>
      <c r="AB9" s="20"/>
      <c r="AC9" s="20"/>
      <c r="AD9" s="20"/>
    </row>
    <row r="10" spans="1:348" ht="27" customHeight="1" x14ac:dyDescent="0.25">
      <c r="A10" s="20"/>
      <c r="B10" s="36" t="s">
        <v>32</v>
      </c>
      <c r="C10" s="39">
        <f>SUM(F15:Y15)</f>
        <v>23047.999999999985</v>
      </c>
      <c r="D10" s="40">
        <v>30000</v>
      </c>
      <c r="E10" s="28"/>
      <c r="F10" s="49" t="s">
        <v>26</v>
      </c>
      <c r="G10" s="49" t="s">
        <v>27</v>
      </c>
      <c r="H10" s="49" t="s">
        <v>37</v>
      </c>
      <c r="I10" s="59" t="s">
        <v>38</v>
      </c>
      <c r="J10" s="49" t="s">
        <v>39</v>
      </c>
      <c r="K10" s="49" t="s">
        <v>40</v>
      </c>
      <c r="L10" s="49" t="s">
        <v>41</v>
      </c>
      <c r="M10" s="49" t="s">
        <v>42</v>
      </c>
      <c r="N10" s="49" t="s">
        <v>43</v>
      </c>
      <c r="O10" s="49" t="s">
        <v>44</v>
      </c>
      <c r="P10" s="49" t="s">
        <v>45</v>
      </c>
      <c r="Q10" s="49" t="s">
        <v>46</v>
      </c>
      <c r="R10" s="61"/>
      <c r="S10" s="61"/>
      <c r="T10" s="61"/>
      <c r="U10" s="61"/>
      <c r="V10" s="61"/>
      <c r="W10" s="61"/>
      <c r="X10" s="61"/>
      <c r="Y10" s="61"/>
      <c r="Z10" s="47"/>
      <c r="AA10" s="20"/>
      <c r="AB10" s="20"/>
      <c r="AC10" s="20"/>
      <c r="AD10" s="20"/>
    </row>
    <row r="11" spans="1:348" ht="21.75" customHeight="1" x14ac:dyDescent="0.25">
      <c r="A11" s="20"/>
      <c r="B11" s="20"/>
      <c r="C11" s="20"/>
      <c r="D11" s="20"/>
      <c r="E11" s="20"/>
      <c r="F11" s="50"/>
      <c r="G11" s="50"/>
      <c r="H11" s="50"/>
      <c r="I11" s="60"/>
      <c r="J11" s="50"/>
      <c r="K11" s="50"/>
      <c r="L11" s="50"/>
      <c r="M11" s="50"/>
      <c r="N11" s="50"/>
      <c r="O11" s="50"/>
      <c r="P11" s="50"/>
      <c r="Q11" s="50"/>
      <c r="R11" s="62"/>
      <c r="S11" s="62"/>
      <c r="T11" s="62"/>
      <c r="U11" s="62"/>
      <c r="V11" s="62"/>
      <c r="W11" s="62"/>
      <c r="X11" s="62"/>
      <c r="Y11" s="62"/>
      <c r="Z11" s="47"/>
      <c r="AA11" s="20"/>
      <c r="AB11" s="21"/>
      <c r="AC11" s="20"/>
      <c r="AD11" s="20"/>
    </row>
    <row r="12" spans="1:348" ht="8.25" customHeight="1" x14ac:dyDescent="0.25">
      <c r="A12" s="20"/>
      <c r="B12" s="51" t="s">
        <v>25</v>
      </c>
      <c r="C12" s="51"/>
      <c r="D12" s="48" t="s">
        <v>36</v>
      </c>
      <c r="E12" s="48"/>
      <c r="F12" s="52">
        <v>230</v>
      </c>
      <c r="G12" s="52">
        <v>230</v>
      </c>
      <c r="H12" s="52">
        <v>230</v>
      </c>
      <c r="I12" s="52">
        <v>230</v>
      </c>
      <c r="J12" s="52">
        <v>230</v>
      </c>
      <c r="K12" s="52">
        <v>230</v>
      </c>
      <c r="L12" s="52">
        <v>230</v>
      </c>
      <c r="M12" s="52">
        <v>230</v>
      </c>
      <c r="N12" s="52">
        <v>230</v>
      </c>
      <c r="O12" s="52">
        <v>230</v>
      </c>
      <c r="P12" s="52">
        <v>230</v>
      </c>
      <c r="Q12" s="52">
        <v>230</v>
      </c>
      <c r="R12" s="57"/>
      <c r="S12" s="57"/>
      <c r="T12" s="57"/>
      <c r="U12" s="57"/>
      <c r="V12" s="57"/>
      <c r="W12" s="57"/>
      <c r="X12" s="57"/>
      <c r="Y12" s="57"/>
      <c r="Z12" s="47"/>
      <c r="AA12" s="20"/>
      <c r="AB12" s="21"/>
      <c r="AC12" s="20"/>
      <c r="AD12" s="20"/>
    </row>
    <row r="13" spans="1:348" ht="5.25" customHeight="1" x14ac:dyDescent="0.25">
      <c r="A13" s="20"/>
      <c r="B13" s="51"/>
      <c r="C13" s="51"/>
      <c r="D13" s="48"/>
      <c r="E13" s="48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8"/>
      <c r="S13" s="58"/>
      <c r="T13" s="58"/>
      <c r="U13" s="58"/>
      <c r="V13" s="58"/>
      <c r="W13" s="58"/>
      <c r="X13" s="58"/>
      <c r="Y13" s="58"/>
      <c r="Z13" s="47"/>
      <c r="AA13" s="20"/>
      <c r="AB13" s="21"/>
      <c r="AC13" s="20"/>
      <c r="AD13" s="20"/>
    </row>
    <row r="14" spans="1:348" x14ac:dyDescent="0.25">
      <c r="A14" s="20"/>
      <c r="B14" s="54" t="s">
        <v>6</v>
      </c>
      <c r="C14" s="54" t="s">
        <v>24</v>
      </c>
      <c r="D14" s="19" t="s">
        <v>30</v>
      </c>
      <c r="E14" s="19" t="s">
        <v>31</v>
      </c>
      <c r="F14" s="38">
        <f>SUM(F16:F45)</f>
        <v>215.99999999999986</v>
      </c>
      <c r="G14" s="38">
        <f t="shared" ref="G14:Y14" si="0">SUM(G16:G45)</f>
        <v>231.99999999999986</v>
      </c>
      <c r="H14" s="38">
        <f t="shared" si="0"/>
        <v>239.99999999999986</v>
      </c>
      <c r="I14" s="38">
        <f t="shared" si="0"/>
        <v>239.99999999999986</v>
      </c>
      <c r="J14" s="38">
        <f t="shared" si="0"/>
        <v>239.99999999999986</v>
      </c>
      <c r="K14" s="38">
        <f t="shared" si="0"/>
        <v>239.99999999999986</v>
      </c>
      <c r="L14" s="38">
        <f t="shared" si="0"/>
        <v>239.99999999999986</v>
      </c>
      <c r="M14" s="38">
        <f t="shared" si="0"/>
        <v>239.99999999999986</v>
      </c>
      <c r="N14" s="38">
        <f t="shared" si="0"/>
        <v>239.99999999999986</v>
      </c>
      <c r="O14" s="38">
        <f t="shared" si="0"/>
        <v>0</v>
      </c>
      <c r="P14" s="38">
        <f t="shared" si="0"/>
        <v>0</v>
      </c>
      <c r="Q14" s="38">
        <f t="shared" si="0"/>
        <v>0</v>
      </c>
      <c r="R14" s="38">
        <f t="shared" si="0"/>
        <v>0</v>
      </c>
      <c r="S14" s="38">
        <f t="shared" si="0"/>
        <v>0</v>
      </c>
      <c r="T14" s="38">
        <f t="shared" si="0"/>
        <v>0</v>
      </c>
      <c r="U14" s="38">
        <f t="shared" si="0"/>
        <v>0</v>
      </c>
      <c r="V14" s="38">
        <f t="shared" si="0"/>
        <v>0</v>
      </c>
      <c r="W14" s="38">
        <f t="shared" si="0"/>
        <v>0</v>
      </c>
      <c r="X14" s="38">
        <f t="shared" si="0"/>
        <v>0</v>
      </c>
      <c r="Y14" s="38">
        <f t="shared" si="0"/>
        <v>0</v>
      </c>
      <c r="Z14" s="21"/>
      <c r="AA14" s="20"/>
      <c r="AB14" s="21"/>
      <c r="AC14" s="20"/>
      <c r="AD14" s="20"/>
    </row>
    <row r="15" spans="1:348" x14ac:dyDescent="0.25">
      <c r="A15" s="27"/>
      <c r="B15" s="55"/>
      <c r="C15" s="54"/>
      <c r="D15" s="56" t="s">
        <v>28</v>
      </c>
      <c r="E15" s="56"/>
      <c r="F15" s="26">
        <f>(F14*F8)</f>
        <v>2591.9999999999982</v>
      </c>
      <c r="G15" s="24">
        <f>G14*G8</f>
        <v>1855.9999999999989</v>
      </c>
      <c r="H15" s="24">
        <f t="shared" ref="H15:Y15" si="1">H14*H8</f>
        <v>2879.9999999999982</v>
      </c>
      <c r="I15" s="24">
        <f t="shared" si="1"/>
        <v>3599.9999999999977</v>
      </c>
      <c r="J15" s="24">
        <f t="shared" si="1"/>
        <v>2879.9999999999982</v>
      </c>
      <c r="K15" s="24">
        <f t="shared" si="1"/>
        <v>2399.9999999999986</v>
      </c>
      <c r="L15" s="24">
        <f t="shared" si="1"/>
        <v>2879.9999999999982</v>
      </c>
      <c r="M15" s="24">
        <f t="shared" si="1"/>
        <v>1679.9999999999991</v>
      </c>
      <c r="N15" s="24">
        <f t="shared" si="1"/>
        <v>2279.9999999999986</v>
      </c>
      <c r="O15" s="24">
        <f t="shared" si="1"/>
        <v>0</v>
      </c>
      <c r="P15" s="24">
        <f t="shared" si="1"/>
        <v>0</v>
      </c>
      <c r="Q15" s="24">
        <f t="shared" si="1"/>
        <v>0</v>
      </c>
      <c r="R15" s="24">
        <f t="shared" si="1"/>
        <v>0</v>
      </c>
      <c r="S15" s="24">
        <f t="shared" si="1"/>
        <v>0</v>
      </c>
      <c r="T15" s="24">
        <f t="shared" si="1"/>
        <v>0</v>
      </c>
      <c r="U15" s="24">
        <f t="shared" si="1"/>
        <v>0</v>
      </c>
      <c r="V15" s="24">
        <f t="shared" si="1"/>
        <v>0</v>
      </c>
      <c r="W15" s="24">
        <f t="shared" si="1"/>
        <v>0</v>
      </c>
      <c r="X15" s="24">
        <f t="shared" si="1"/>
        <v>0</v>
      </c>
      <c r="Y15" s="24">
        <f t="shared" si="1"/>
        <v>0</v>
      </c>
      <c r="Z15" s="20"/>
      <c r="AA15" s="20"/>
      <c r="AB15" s="20"/>
      <c r="AC15" s="20"/>
      <c r="AD15" s="20"/>
    </row>
    <row r="16" spans="1:348" x14ac:dyDescent="0.2">
      <c r="A16" s="25"/>
      <c r="B16" s="18">
        <f>CONCATENATE(1,".",$C7,".",$C8)*1</f>
        <v>43070</v>
      </c>
      <c r="C16" s="29">
        <f t="shared" ref="C16:C46" si="2">WEEKDAY(B16,1)</f>
        <v>6</v>
      </c>
      <c r="D16" s="46">
        <f>SUM(F16:Y16)</f>
        <v>64</v>
      </c>
      <c r="E16" s="46"/>
      <c r="F16" s="41">
        <f>'[1]Front and office'!C4</f>
        <v>0</v>
      </c>
      <c r="G16" s="41">
        <f>'[2]Front and office'!C4</f>
        <v>8</v>
      </c>
      <c r="H16" s="41">
        <f>'[3]Front and office'!C4</f>
        <v>8</v>
      </c>
      <c r="I16" s="41">
        <f>'[4]Front and office'!C4</f>
        <v>8</v>
      </c>
      <c r="J16" s="41">
        <f>'[5]Front and office'!C4</f>
        <v>8</v>
      </c>
      <c r="K16" s="41">
        <f>'[6]Front and office'!C4</f>
        <v>8</v>
      </c>
      <c r="L16" s="41">
        <f>'[7]Front and office'!C4</f>
        <v>8</v>
      </c>
      <c r="M16" s="41">
        <f>'[8]Front and office'!C4</f>
        <v>8</v>
      </c>
      <c r="N16" s="41">
        <f>'[9]Front and office'!C4</f>
        <v>8</v>
      </c>
      <c r="O16" s="41">
        <f>'[10]Front and office'!D4</f>
        <v>0</v>
      </c>
      <c r="P16" s="41">
        <f>'[11]Front and office'!E4</f>
        <v>0</v>
      </c>
      <c r="Q16" s="41">
        <f>'[12]Front and office'!F4</f>
        <v>0</v>
      </c>
      <c r="R16" s="42"/>
      <c r="S16" s="42"/>
      <c r="T16" s="42"/>
      <c r="U16" s="42"/>
      <c r="V16" s="42"/>
      <c r="W16" s="42"/>
      <c r="X16" s="42"/>
      <c r="Y16" s="42"/>
    </row>
    <row r="17" spans="1:25" x14ac:dyDescent="0.2">
      <c r="A17" s="25"/>
      <c r="B17" s="18">
        <f>B16+1</f>
        <v>43071</v>
      </c>
      <c r="C17" s="29">
        <f>WEEKDAY(B17,1)</f>
        <v>7</v>
      </c>
      <c r="D17" s="46">
        <f t="shared" ref="D17:D45" si="3">SUM(F17:Y17)</f>
        <v>64</v>
      </c>
      <c r="E17" s="46"/>
      <c r="F17" s="41">
        <f>'[1]Front and office'!C5</f>
        <v>8</v>
      </c>
      <c r="G17" s="41">
        <f>'[2]Front and office'!C5</f>
        <v>0</v>
      </c>
      <c r="H17" s="41">
        <f>'[3]Front and office'!C5</f>
        <v>8</v>
      </c>
      <c r="I17" s="41">
        <f>'[3]Front and office'!C5</f>
        <v>8</v>
      </c>
      <c r="J17" s="41">
        <f>'[4]Front and office'!C5</f>
        <v>8</v>
      </c>
      <c r="K17" s="41">
        <f>'[6]Front and office'!C5</f>
        <v>8</v>
      </c>
      <c r="L17" s="41">
        <f>'[7]Front and office'!C5</f>
        <v>8</v>
      </c>
      <c r="M17" s="41">
        <f>'[8]Front and office'!C5</f>
        <v>8</v>
      </c>
      <c r="N17" s="41">
        <f>'[9]Front and office'!C5</f>
        <v>8</v>
      </c>
      <c r="O17" s="41">
        <f>'[9]Front and office'!D5</f>
        <v>0</v>
      </c>
      <c r="P17" s="41">
        <f>'[9]Front and office'!E5</f>
        <v>0</v>
      </c>
      <c r="Q17" s="41">
        <f>'[9]Front and office'!F5</f>
        <v>0</v>
      </c>
      <c r="R17" s="43"/>
      <c r="S17" s="43"/>
      <c r="T17" s="43"/>
      <c r="U17" s="43"/>
      <c r="V17" s="43"/>
      <c r="W17" s="43"/>
      <c r="X17" s="43"/>
      <c r="Y17" s="43"/>
    </row>
    <row r="18" spans="1:25" x14ac:dyDescent="0.2">
      <c r="A18" s="25"/>
      <c r="B18" s="18">
        <f t="shared" ref="B18:B45" si="4">B17+1</f>
        <v>43072</v>
      </c>
      <c r="C18" s="29">
        <f t="shared" si="2"/>
        <v>1</v>
      </c>
      <c r="D18" s="46">
        <f t="shared" si="3"/>
        <v>72</v>
      </c>
      <c r="E18" s="46"/>
      <c r="F18" s="41">
        <f>'[1]Front and office'!C6</f>
        <v>8</v>
      </c>
      <c r="G18" s="41">
        <f>'[2]Front and office'!C6</f>
        <v>8</v>
      </c>
      <c r="H18" s="41">
        <f>'[3]Front and office'!C6</f>
        <v>8</v>
      </c>
      <c r="I18" s="41">
        <f>'[3]Front and office'!C6</f>
        <v>8</v>
      </c>
      <c r="J18" s="41">
        <f>'[4]Front and office'!C6</f>
        <v>8</v>
      </c>
      <c r="K18" s="41">
        <f>'[6]Front and office'!C6</f>
        <v>8</v>
      </c>
      <c r="L18" s="41">
        <f>'[7]Front and office'!C6</f>
        <v>8</v>
      </c>
      <c r="M18" s="41">
        <f>'[8]Front and office'!C6</f>
        <v>8</v>
      </c>
      <c r="N18" s="41">
        <f>'[9]Front and office'!C6</f>
        <v>8</v>
      </c>
      <c r="O18" s="41">
        <f>'[9]Front and office'!D6</f>
        <v>0</v>
      </c>
      <c r="P18" s="41">
        <f>'[9]Front and office'!E6</f>
        <v>0</v>
      </c>
      <c r="Q18" s="41">
        <f>'[9]Front and office'!F6</f>
        <v>0</v>
      </c>
      <c r="R18" s="43"/>
      <c r="S18" s="43"/>
      <c r="T18" s="43"/>
      <c r="U18" s="43"/>
      <c r="V18" s="43"/>
      <c r="W18" s="43"/>
      <c r="X18" s="43"/>
      <c r="Y18" s="43"/>
    </row>
    <row r="19" spans="1:25" x14ac:dyDescent="0.2">
      <c r="A19" s="25"/>
      <c r="B19" s="18">
        <f t="shared" si="4"/>
        <v>43073</v>
      </c>
      <c r="C19" s="29">
        <f t="shared" si="2"/>
        <v>2</v>
      </c>
      <c r="D19" s="46">
        <f t="shared" si="3"/>
        <v>72</v>
      </c>
      <c r="E19" s="46"/>
      <c r="F19" s="41">
        <f>'[1]Front and office'!C7</f>
        <v>8</v>
      </c>
      <c r="G19" s="41">
        <f>'[2]Front and office'!C7</f>
        <v>8</v>
      </c>
      <c r="H19" s="41">
        <f>'[3]Front and office'!C7</f>
        <v>8</v>
      </c>
      <c r="I19" s="41">
        <f>'[3]Front and office'!C7</f>
        <v>8</v>
      </c>
      <c r="J19" s="41">
        <f>'[4]Front and office'!C7</f>
        <v>8</v>
      </c>
      <c r="K19" s="41">
        <f>'[6]Front and office'!C7</f>
        <v>8</v>
      </c>
      <c r="L19" s="41">
        <f>'[7]Front and office'!C7</f>
        <v>8</v>
      </c>
      <c r="M19" s="41">
        <f>'[8]Front and office'!C7</f>
        <v>8</v>
      </c>
      <c r="N19" s="41">
        <f>'[9]Front and office'!C7</f>
        <v>8</v>
      </c>
      <c r="O19" s="41">
        <f>'[9]Front and office'!D7</f>
        <v>0</v>
      </c>
      <c r="P19" s="41">
        <f>'[9]Front and office'!E7</f>
        <v>0</v>
      </c>
      <c r="Q19" s="41">
        <f>'[9]Front and office'!F7</f>
        <v>0</v>
      </c>
      <c r="R19" s="43"/>
      <c r="S19" s="43"/>
      <c r="T19" s="43"/>
      <c r="U19" s="43"/>
      <c r="V19" s="43"/>
      <c r="W19" s="43"/>
      <c r="X19" s="43"/>
      <c r="Y19" s="43"/>
    </row>
    <row r="20" spans="1:25" x14ac:dyDescent="0.2">
      <c r="A20" s="25"/>
      <c r="B20" s="18">
        <f t="shared" si="4"/>
        <v>43074</v>
      </c>
      <c r="C20" s="29">
        <f t="shared" si="2"/>
        <v>3</v>
      </c>
      <c r="D20" s="44">
        <f t="shared" si="3"/>
        <v>72</v>
      </c>
      <c r="E20" s="45"/>
      <c r="F20" s="41">
        <f>'[1]Front and office'!C8</f>
        <v>8</v>
      </c>
      <c r="G20" s="41">
        <f>'[2]Front and office'!C8</f>
        <v>8</v>
      </c>
      <c r="H20" s="41">
        <f>'[3]Front and office'!C8</f>
        <v>8</v>
      </c>
      <c r="I20" s="41">
        <f>'[3]Front and office'!C8</f>
        <v>8</v>
      </c>
      <c r="J20" s="41">
        <f>'[4]Front and office'!C8</f>
        <v>8</v>
      </c>
      <c r="K20" s="41">
        <f>'[6]Front and office'!C8</f>
        <v>8</v>
      </c>
      <c r="L20" s="41">
        <f>'[7]Front and office'!C8</f>
        <v>8</v>
      </c>
      <c r="M20" s="41">
        <f>'[8]Front and office'!C8</f>
        <v>8</v>
      </c>
      <c r="N20" s="41">
        <f>'[9]Front and office'!C8</f>
        <v>8</v>
      </c>
      <c r="O20" s="41">
        <f>'[9]Front and office'!D8</f>
        <v>0</v>
      </c>
      <c r="P20" s="41">
        <f>'[9]Front and office'!E8</f>
        <v>0</v>
      </c>
      <c r="Q20" s="41">
        <f>'[9]Front and office'!F8</f>
        <v>0</v>
      </c>
      <c r="R20" s="43"/>
      <c r="S20" s="43"/>
      <c r="T20" s="43"/>
      <c r="U20" s="43"/>
      <c r="V20" s="43"/>
      <c r="W20" s="43"/>
      <c r="X20" s="43"/>
      <c r="Y20" s="43"/>
    </row>
    <row r="21" spans="1:25" x14ac:dyDescent="0.2">
      <c r="A21" s="25"/>
      <c r="B21" s="18">
        <f t="shared" si="4"/>
        <v>43075</v>
      </c>
      <c r="C21" s="29">
        <f t="shared" si="2"/>
        <v>4</v>
      </c>
      <c r="D21" s="44">
        <f t="shared" si="3"/>
        <v>71.999999999999929</v>
      </c>
      <c r="E21" s="45"/>
      <c r="F21" s="41">
        <f>'[1]Front and office'!C9</f>
        <v>7.9999999999999911</v>
      </c>
      <c r="G21" s="41">
        <f>'[2]Front and office'!C9</f>
        <v>7.9999999999999911</v>
      </c>
      <c r="H21" s="41">
        <f>'[3]Front and office'!C9</f>
        <v>7.9999999999999911</v>
      </c>
      <c r="I21" s="41">
        <f>'[3]Front and office'!C9</f>
        <v>7.9999999999999911</v>
      </c>
      <c r="J21" s="41">
        <f>'[4]Front and office'!C9</f>
        <v>7.9999999999999911</v>
      </c>
      <c r="K21" s="41">
        <f>'[6]Front and office'!C9</f>
        <v>7.9999999999999911</v>
      </c>
      <c r="L21" s="41">
        <f>'[7]Front and office'!C9</f>
        <v>7.9999999999999911</v>
      </c>
      <c r="M21" s="41">
        <f>'[8]Front and office'!C9</f>
        <v>7.9999999999999911</v>
      </c>
      <c r="N21" s="41">
        <f>'[9]Front and office'!C9</f>
        <v>7.9999999999999911</v>
      </c>
      <c r="O21" s="41">
        <f>'[9]Front and office'!D9</f>
        <v>0</v>
      </c>
      <c r="P21" s="41">
        <f>'[9]Front and office'!E9</f>
        <v>0</v>
      </c>
      <c r="Q21" s="41">
        <f>'[9]Front and office'!F9</f>
        <v>0</v>
      </c>
      <c r="R21" s="43"/>
      <c r="S21" s="43"/>
      <c r="T21" s="43"/>
      <c r="U21" s="43"/>
      <c r="V21" s="43"/>
      <c r="W21" s="43"/>
      <c r="X21" s="43"/>
      <c r="Y21" s="43"/>
    </row>
    <row r="22" spans="1:25" x14ac:dyDescent="0.2">
      <c r="A22" s="25"/>
      <c r="B22" s="18">
        <f t="shared" si="4"/>
        <v>43076</v>
      </c>
      <c r="C22" s="29">
        <f t="shared" si="2"/>
        <v>5</v>
      </c>
      <c r="D22" s="44">
        <f t="shared" si="3"/>
        <v>71.999999999999929</v>
      </c>
      <c r="E22" s="45"/>
      <c r="F22" s="41">
        <f>'[1]Front and office'!C10</f>
        <v>7.9999999999999911</v>
      </c>
      <c r="G22" s="41">
        <f>'[2]Front and office'!C10</f>
        <v>7.9999999999999911</v>
      </c>
      <c r="H22" s="41">
        <f>'[3]Front and office'!C10</f>
        <v>7.9999999999999911</v>
      </c>
      <c r="I22" s="41">
        <f>'[3]Front and office'!C10</f>
        <v>7.9999999999999911</v>
      </c>
      <c r="J22" s="41">
        <f>'[4]Front and office'!C10</f>
        <v>7.9999999999999911</v>
      </c>
      <c r="K22" s="41">
        <f>'[6]Front and office'!C10</f>
        <v>7.9999999999999911</v>
      </c>
      <c r="L22" s="41">
        <f>'[7]Front and office'!C10</f>
        <v>7.9999999999999911</v>
      </c>
      <c r="M22" s="41">
        <f>'[8]Front and office'!C10</f>
        <v>7.9999999999999911</v>
      </c>
      <c r="N22" s="41">
        <f>'[9]Front and office'!C10</f>
        <v>7.9999999999999911</v>
      </c>
      <c r="O22" s="41">
        <f>'[9]Front and office'!D10</f>
        <v>0</v>
      </c>
      <c r="P22" s="41">
        <f>'[9]Front and office'!E10</f>
        <v>0</v>
      </c>
      <c r="Q22" s="41">
        <f>'[9]Front and office'!F10</f>
        <v>0</v>
      </c>
      <c r="R22" s="43"/>
      <c r="S22" s="43"/>
      <c r="T22" s="43"/>
      <c r="U22" s="43"/>
      <c r="V22" s="43"/>
      <c r="W22" s="43"/>
      <c r="X22" s="43"/>
      <c r="Y22" s="43"/>
    </row>
    <row r="23" spans="1:25" x14ac:dyDescent="0.2">
      <c r="A23" s="25"/>
      <c r="B23" s="18">
        <f t="shared" si="4"/>
        <v>43077</v>
      </c>
      <c r="C23" s="29">
        <f t="shared" si="2"/>
        <v>6</v>
      </c>
      <c r="D23" s="44">
        <f t="shared" si="3"/>
        <v>63.999999999999936</v>
      </c>
      <c r="E23" s="45"/>
      <c r="F23" s="41">
        <f>'[1]Front and office'!C11</f>
        <v>0</v>
      </c>
      <c r="G23" s="41">
        <f>'[2]Front and office'!C11</f>
        <v>7.9999999999999911</v>
      </c>
      <c r="H23" s="41">
        <f>'[3]Front and office'!C11</f>
        <v>7.9999999999999911</v>
      </c>
      <c r="I23" s="41">
        <f>'[3]Front and office'!C11</f>
        <v>7.9999999999999911</v>
      </c>
      <c r="J23" s="41">
        <f>'[4]Front and office'!C11</f>
        <v>7.9999999999999911</v>
      </c>
      <c r="K23" s="41">
        <f>'[6]Front and office'!C11</f>
        <v>7.9999999999999911</v>
      </c>
      <c r="L23" s="41">
        <f>'[7]Front and office'!C11</f>
        <v>7.9999999999999911</v>
      </c>
      <c r="M23" s="41">
        <f>'[8]Front and office'!C11</f>
        <v>7.9999999999999911</v>
      </c>
      <c r="N23" s="41">
        <f>'[9]Front and office'!C11</f>
        <v>7.9999999999999911</v>
      </c>
      <c r="O23" s="41">
        <f>'[9]Front and office'!D11</f>
        <v>0</v>
      </c>
      <c r="P23" s="41">
        <f>'[9]Front and office'!E11</f>
        <v>0</v>
      </c>
      <c r="Q23" s="41">
        <f>'[9]Front and office'!F11</f>
        <v>0</v>
      </c>
      <c r="R23" s="43"/>
      <c r="S23" s="43"/>
      <c r="T23" s="43"/>
      <c r="U23" s="43"/>
      <c r="V23" s="43"/>
      <c r="W23" s="43"/>
      <c r="X23" s="43"/>
      <c r="Y23" s="43"/>
    </row>
    <row r="24" spans="1:25" x14ac:dyDescent="0.2">
      <c r="A24" s="25"/>
      <c r="B24" s="18">
        <f t="shared" si="4"/>
        <v>43078</v>
      </c>
      <c r="C24" s="29">
        <f t="shared" si="2"/>
        <v>7</v>
      </c>
      <c r="D24" s="44">
        <f t="shared" si="3"/>
        <v>71.999999999999929</v>
      </c>
      <c r="E24" s="45"/>
      <c r="F24" s="41">
        <f>'[1]Front and office'!C12</f>
        <v>7.9999999999999911</v>
      </c>
      <c r="G24" s="41">
        <f>'[2]Front and office'!C12</f>
        <v>7.9999999999999911</v>
      </c>
      <c r="H24" s="41">
        <f>'[3]Front and office'!C12</f>
        <v>7.9999999999999911</v>
      </c>
      <c r="I24" s="41">
        <f>'[3]Front and office'!C12</f>
        <v>7.9999999999999911</v>
      </c>
      <c r="J24" s="41">
        <f>'[4]Front and office'!C12</f>
        <v>7.9999999999999911</v>
      </c>
      <c r="K24" s="41">
        <f>'[6]Front and office'!C12</f>
        <v>7.9999999999999911</v>
      </c>
      <c r="L24" s="41">
        <f>'[7]Front and office'!C12</f>
        <v>7.9999999999999911</v>
      </c>
      <c r="M24" s="41">
        <f>'[8]Front and office'!C12</f>
        <v>7.9999999999999911</v>
      </c>
      <c r="N24" s="41">
        <f>'[9]Front and office'!C12</f>
        <v>7.9999999999999911</v>
      </c>
      <c r="O24" s="41">
        <f>'[9]Front and office'!D12</f>
        <v>0</v>
      </c>
      <c r="P24" s="41">
        <f>'[9]Front and office'!E12</f>
        <v>0</v>
      </c>
      <c r="Q24" s="41">
        <f>'[9]Front and office'!F12</f>
        <v>0</v>
      </c>
      <c r="R24" s="43"/>
      <c r="S24" s="43"/>
      <c r="T24" s="43"/>
      <c r="U24" s="43"/>
      <c r="V24" s="43"/>
      <c r="W24" s="43"/>
      <c r="X24" s="43"/>
      <c r="Y24" s="43"/>
    </row>
    <row r="25" spans="1:25" x14ac:dyDescent="0.2">
      <c r="A25" s="25"/>
      <c r="B25" s="18">
        <f t="shared" si="4"/>
        <v>43079</v>
      </c>
      <c r="C25" s="29">
        <f t="shared" si="2"/>
        <v>1</v>
      </c>
      <c r="D25" s="44">
        <f t="shared" si="3"/>
        <v>71.999999999999929</v>
      </c>
      <c r="E25" s="45"/>
      <c r="F25" s="41">
        <f>'[1]Front and office'!C13</f>
        <v>7.9999999999999911</v>
      </c>
      <c r="G25" s="41">
        <f>'[2]Front and office'!C13</f>
        <v>7.9999999999999911</v>
      </c>
      <c r="H25" s="41">
        <f>'[3]Front and office'!C13</f>
        <v>7.9999999999999911</v>
      </c>
      <c r="I25" s="41">
        <f>'[3]Front and office'!C13</f>
        <v>7.9999999999999911</v>
      </c>
      <c r="J25" s="41">
        <f>'[4]Front and office'!C13</f>
        <v>7.9999999999999911</v>
      </c>
      <c r="K25" s="41">
        <f>'[6]Front and office'!C13</f>
        <v>7.9999999999999911</v>
      </c>
      <c r="L25" s="41">
        <f>'[7]Front and office'!C13</f>
        <v>7.9999999999999911</v>
      </c>
      <c r="M25" s="41">
        <f>'[8]Front and office'!C13</f>
        <v>7.9999999999999911</v>
      </c>
      <c r="N25" s="41">
        <f>'[9]Front and office'!C13</f>
        <v>7.9999999999999911</v>
      </c>
      <c r="O25" s="41">
        <f>'[9]Front and office'!D13</f>
        <v>0</v>
      </c>
      <c r="P25" s="41">
        <f>'[9]Front and office'!E13</f>
        <v>0</v>
      </c>
      <c r="Q25" s="41">
        <f>'[9]Front and office'!F13</f>
        <v>0</v>
      </c>
      <c r="R25" s="43"/>
      <c r="S25" s="43"/>
      <c r="T25" s="43"/>
      <c r="U25" s="43"/>
      <c r="V25" s="43"/>
      <c r="W25" s="43"/>
      <c r="X25" s="43"/>
      <c r="Y25" s="43"/>
    </row>
    <row r="26" spans="1:25" x14ac:dyDescent="0.2">
      <c r="A26" s="25"/>
      <c r="B26" s="18">
        <f t="shared" si="4"/>
        <v>43080</v>
      </c>
      <c r="C26" s="29">
        <f t="shared" si="2"/>
        <v>2</v>
      </c>
      <c r="D26" s="44">
        <f t="shared" si="3"/>
        <v>71.999999999999929</v>
      </c>
      <c r="E26" s="45"/>
      <c r="F26" s="41">
        <f>'[1]Front and office'!C14</f>
        <v>7.9999999999999911</v>
      </c>
      <c r="G26" s="41">
        <f>'[2]Front and office'!C14</f>
        <v>7.9999999999999911</v>
      </c>
      <c r="H26" s="41">
        <f>'[3]Front and office'!C14</f>
        <v>7.9999999999999911</v>
      </c>
      <c r="I26" s="41">
        <f>'[3]Front and office'!C14</f>
        <v>7.9999999999999911</v>
      </c>
      <c r="J26" s="41">
        <f>'[4]Front and office'!C14</f>
        <v>7.9999999999999911</v>
      </c>
      <c r="K26" s="41">
        <f>'[6]Front and office'!C14</f>
        <v>7.9999999999999911</v>
      </c>
      <c r="L26" s="41">
        <f>'[7]Front and office'!C14</f>
        <v>7.9999999999999911</v>
      </c>
      <c r="M26" s="41">
        <f>'[8]Front and office'!C14</f>
        <v>7.9999999999999911</v>
      </c>
      <c r="N26" s="41">
        <f>'[9]Front and office'!C14</f>
        <v>7.9999999999999911</v>
      </c>
      <c r="O26" s="41">
        <f>'[9]Front and office'!D14</f>
        <v>0</v>
      </c>
      <c r="P26" s="41">
        <f>'[9]Front and office'!E14</f>
        <v>0</v>
      </c>
      <c r="Q26" s="41">
        <f>'[9]Front and office'!F14</f>
        <v>0</v>
      </c>
      <c r="R26" s="43"/>
      <c r="S26" s="43"/>
      <c r="T26" s="43"/>
      <c r="U26" s="43"/>
      <c r="V26" s="43"/>
      <c r="W26" s="43"/>
      <c r="X26" s="43"/>
      <c r="Y26" s="43"/>
    </row>
    <row r="27" spans="1:25" x14ac:dyDescent="0.2">
      <c r="A27" s="25"/>
      <c r="B27" s="18">
        <f t="shared" si="4"/>
        <v>43081</v>
      </c>
      <c r="C27" s="29">
        <f t="shared" si="2"/>
        <v>3</v>
      </c>
      <c r="D27" s="44">
        <f t="shared" si="3"/>
        <v>71.999999999999929</v>
      </c>
      <c r="E27" s="45"/>
      <c r="F27" s="41">
        <f>'[1]Front and office'!C15</f>
        <v>7.9999999999999911</v>
      </c>
      <c r="G27" s="41">
        <f>'[2]Front and office'!C15</f>
        <v>7.9999999999999911</v>
      </c>
      <c r="H27" s="41">
        <f>'[3]Front and office'!C15</f>
        <v>7.9999999999999911</v>
      </c>
      <c r="I27" s="41">
        <f>'[3]Front and office'!C15</f>
        <v>7.9999999999999911</v>
      </c>
      <c r="J27" s="41">
        <f>'[4]Front and office'!C15</f>
        <v>7.9999999999999911</v>
      </c>
      <c r="K27" s="41">
        <f>'[6]Front and office'!C15</f>
        <v>7.9999999999999911</v>
      </c>
      <c r="L27" s="41">
        <f>'[7]Front and office'!C15</f>
        <v>7.9999999999999911</v>
      </c>
      <c r="M27" s="41">
        <f>'[8]Front and office'!C15</f>
        <v>7.9999999999999911</v>
      </c>
      <c r="N27" s="41">
        <f>'[9]Front and office'!C15</f>
        <v>7.9999999999999911</v>
      </c>
      <c r="O27" s="41">
        <f>'[9]Front and office'!D15</f>
        <v>0</v>
      </c>
      <c r="P27" s="41">
        <f>'[9]Front and office'!E15</f>
        <v>0</v>
      </c>
      <c r="Q27" s="41">
        <f>'[9]Front and office'!F15</f>
        <v>0</v>
      </c>
      <c r="R27" s="43"/>
      <c r="S27" s="43"/>
      <c r="T27" s="43"/>
      <c r="U27" s="43"/>
      <c r="V27" s="43"/>
      <c r="W27" s="43"/>
      <c r="X27" s="43"/>
      <c r="Y27" s="43"/>
    </row>
    <row r="28" spans="1:25" x14ac:dyDescent="0.2">
      <c r="A28" s="25"/>
      <c r="B28" s="18">
        <f t="shared" si="4"/>
        <v>43082</v>
      </c>
      <c r="C28" s="29">
        <f t="shared" si="2"/>
        <v>4</v>
      </c>
      <c r="D28" s="44">
        <f t="shared" si="3"/>
        <v>71.999999999999929</v>
      </c>
      <c r="E28" s="45"/>
      <c r="F28" s="41">
        <f>'[1]Front and office'!C16</f>
        <v>7.9999999999999911</v>
      </c>
      <c r="G28" s="41">
        <f>'[2]Front and office'!C16</f>
        <v>7.9999999999999911</v>
      </c>
      <c r="H28" s="41">
        <f>'[3]Front and office'!C16</f>
        <v>7.9999999999999911</v>
      </c>
      <c r="I28" s="41">
        <f>'[3]Front and office'!C16</f>
        <v>7.9999999999999911</v>
      </c>
      <c r="J28" s="41">
        <f>'[4]Front and office'!C16</f>
        <v>7.9999999999999911</v>
      </c>
      <c r="K28" s="41">
        <f>'[6]Front and office'!C16</f>
        <v>7.9999999999999911</v>
      </c>
      <c r="L28" s="41">
        <f>'[7]Front and office'!C16</f>
        <v>7.9999999999999911</v>
      </c>
      <c r="M28" s="41">
        <f>'[8]Front and office'!C16</f>
        <v>7.9999999999999911</v>
      </c>
      <c r="N28" s="41">
        <f>'[9]Front and office'!C16</f>
        <v>7.9999999999999911</v>
      </c>
      <c r="O28" s="41">
        <f>'[9]Front and office'!D16</f>
        <v>0</v>
      </c>
      <c r="P28" s="41">
        <f>'[9]Front and office'!E16</f>
        <v>0</v>
      </c>
      <c r="Q28" s="41">
        <f>'[9]Front and office'!F16</f>
        <v>0</v>
      </c>
      <c r="R28" s="43"/>
      <c r="S28" s="43"/>
      <c r="T28" s="43"/>
      <c r="U28" s="43"/>
      <c r="V28" s="43"/>
      <c r="W28" s="43"/>
      <c r="X28" s="43"/>
      <c r="Y28" s="43"/>
    </row>
    <row r="29" spans="1:25" x14ac:dyDescent="0.2">
      <c r="A29" s="25"/>
      <c r="B29" s="18">
        <f t="shared" si="4"/>
        <v>43083</v>
      </c>
      <c r="C29" s="29">
        <f t="shared" si="2"/>
        <v>5</v>
      </c>
      <c r="D29" s="44">
        <f t="shared" si="3"/>
        <v>71.999999999999929</v>
      </c>
      <c r="E29" s="45"/>
      <c r="F29" s="41">
        <f>'[1]Front and office'!C17</f>
        <v>7.9999999999999911</v>
      </c>
      <c r="G29" s="41">
        <f>'[2]Front and office'!C17</f>
        <v>7.9999999999999911</v>
      </c>
      <c r="H29" s="41">
        <f>'[3]Front and office'!C17</f>
        <v>7.9999999999999911</v>
      </c>
      <c r="I29" s="41">
        <f>'[3]Front and office'!C17</f>
        <v>7.9999999999999911</v>
      </c>
      <c r="J29" s="41">
        <f>'[4]Front and office'!C17</f>
        <v>7.9999999999999911</v>
      </c>
      <c r="K29" s="41">
        <f>'[6]Front and office'!C17</f>
        <v>7.9999999999999911</v>
      </c>
      <c r="L29" s="41">
        <f>'[7]Front and office'!C17</f>
        <v>7.9999999999999911</v>
      </c>
      <c r="M29" s="41">
        <f>'[8]Front and office'!C17</f>
        <v>7.9999999999999911</v>
      </c>
      <c r="N29" s="41">
        <f>'[9]Front and office'!C17</f>
        <v>7.9999999999999911</v>
      </c>
      <c r="O29" s="41">
        <f>'[9]Front and office'!D17</f>
        <v>0</v>
      </c>
      <c r="P29" s="41">
        <f>'[9]Front and office'!E17</f>
        <v>0</v>
      </c>
      <c r="Q29" s="41">
        <f>'[9]Front and office'!F17</f>
        <v>0</v>
      </c>
      <c r="R29" s="43"/>
      <c r="S29" s="43"/>
      <c r="T29" s="43"/>
      <c r="U29" s="43"/>
      <c r="V29" s="43"/>
      <c r="W29" s="43"/>
      <c r="X29" s="43"/>
      <c r="Y29" s="43"/>
    </row>
    <row r="30" spans="1:25" x14ac:dyDescent="0.2">
      <c r="A30" s="25"/>
      <c r="B30" s="18">
        <f t="shared" si="4"/>
        <v>43084</v>
      </c>
      <c r="C30" s="29">
        <f t="shared" si="2"/>
        <v>6</v>
      </c>
      <c r="D30" s="44">
        <f t="shared" si="3"/>
        <v>71.999999999999929</v>
      </c>
      <c r="E30" s="45"/>
      <c r="F30" s="41">
        <f>'[1]Front and office'!C18</f>
        <v>7.9999999999999911</v>
      </c>
      <c r="G30" s="41">
        <f>'[2]Front and office'!C18</f>
        <v>7.9999999999999911</v>
      </c>
      <c r="H30" s="41">
        <f>'[3]Front and office'!C18</f>
        <v>7.9999999999999911</v>
      </c>
      <c r="I30" s="41">
        <f>'[3]Front and office'!C18</f>
        <v>7.9999999999999911</v>
      </c>
      <c r="J30" s="41">
        <f>'[4]Front and office'!C18</f>
        <v>7.9999999999999911</v>
      </c>
      <c r="K30" s="41">
        <f>'[6]Front and office'!C18</f>
        <v>7.9999999999999911</v>
      </c>
      <c r="L30" s="41">
        <f>'[7]Front and office'!C18</f>
        <v>7.9999999999999911</v>
      </c>
      <c r="M30" s="41">
        <f>'[8]Front and office'!C18</f>
        <v>7.9999999999999911</v>
      </c>
      <c r="N30" s="41">
        <f>'[9]Front and office'!C18</f>
        <v>7.9999999999999911</v>
      </c>
      <c r="O30" s="41">
        <f>'[9]Front and office'!D18</f>
        <v>0</v>
      </c>
      <c r="P30" s="41">
        <f>'[9]Front and office'!E18</f>
        <v>0</v>
      </c>
      <c r="Q30" s="41">
        <f>'[9]Front and office'!F18</f>
        <v>0</v>
      </c>
      <c r="R30" s="43"/>
      <c r="S30" s="43"/>
      <c r="T30" s="43"/>
      <c r="U30" s="43"/>
      <c r="V30" s="43"/>
      <c r="W30" s="43"/>
      <c r="X30" s="43"/>
      <c r="Y30" s="43"/>
    </row>
    <row r="31" spans="1:25" x14ac:dyDescent="0.2">
      <c r="A31" s="25"/>
      <c r="B31" s="18">
        <f t="shared" si="4"/>
        <v>43085</v>
      </c>
      <c r="C31" s="29">
        <f t="shared" si="2"/>
        <v>7</v>
      </c>
      <c r="D31" s="44">
        <f t="shared" si="3"/>
        <v>71.999999999999929</v>
      </c>
      <c r="E31" s="45"/>
      <c r="F31" s="41">
        <f>'[1]Front and office'!C19</f>
        <v>7.9999999999999911</v>
      </c>
      <c r="G31" s="41">
        <f>'[2]Front and office'!C19</f>
        <v>7.9999999999999911</v>
      </c>
      <c r="H31" s="41">
        <f>'[3]Front and office'!C19</f>
        <v>7.9999999999999911</v>
      </c>
      <c r="I31" s="41">
        <f>'[3]Front and office'!C19</f>
        <v>7.9999999999999911</v>
      </c>
      <c r="J31" s="41">
        <f>'[4]Front and office'!C19</f>
        <v>7.9999999999999911</v>
      </c>
      <c r="K31" s="41">
        <f>'[6]Front and office'!C19</f>
        <v>7.9999999999999911</v>
      </c>
      <c r="L31" s="41">
        <f>'[7]Front and office'!C19</f>
        <v>7.9999999999999911</v>
      </c>
      <c r="M31" s="41">
        <f>'[8]Front and office'!C19</f>
        <v>7.9999999999999911</v>
      </c>
      <c r="N31" s="41">
        <f>'[9]Front and office'!C19</f>
        <v>7.9999999999999911</v>
      </c>
      <c r="O31" s="41">
        <f>'[9]Front and office'!D19</f>
        <v>0</v>
      </c>
      <c r="P31" s="41">
        <f>'[9]Front and office'!E19</f>
        <v>0</v>
      </c>
      <c r="Q31" s="41">
        <f>'[9]Front and office'!F19</f>
        <v>0</v>
      </c>
      <c r="R31" s="43"/>
      <c r="S31" s="43"/>
      <c r="T31" s="43"/>
      <c r="U31" s="43"/>
      <c r="V31" s="43"/>
      <c r="W31" s="43"/>
      <c r="X31" s="43"/>
      <c r="Y31" s="43"/>
    </row>
    <row r="32" spans="1:25" x14ac:dyDescent="0.2">
      <c r="A32" s="25"/>
      <c r="B32" s="18">
        <f t="shared" si="4"/>
        <v>43086</v>
      </c>
      <c r="C32" s="29">
        <f t="shared" si="2"/>
        <v>1</v>
      </c>
      <c r="D32" s="44">
        <f t="shared" si="3"/>
        <v>71.999999999999929</v>
      </c>
      <c r="E32" s="45"/>
      <c r="F32" s="41">
        <f>'[1]Front and office'!C20</f>
        <v>7.9999999999999911</v>
      </c>
      <c r="G32" s="41">
        <f>'[2]Front and office'!C20</f>
        <v>7.9999999999999911</v>
      </c>
      <c r="H32" s="41">
        <f>'[3]Front and office'!C20</f>
        <v>7.9999999999999911</v>
      </c>
      <c r="I32" s="41">
        <f>'[3]Front and office'!C20</f>
        <v>7.9999999999999911</v>
      </c>
      <c r="J32" s="41">
        <f>'[4]Front and office'!C20</f>
        <v>7.9999999999999911</v>
      </c>
      <c r="K32" s="41">
        <f>'[6]Front and office'!C20</f>
        <v>7.9999999999999911</v>
      </c>
      <c r="L32" s="41">
        <f>'[7]Front and office'!C20</f>
        <v>7.9999999999999911</v>
      </c>
      <c r="M32" s="41">
        <f>'[8]Front and office'!C20</f>
        <v>7.9999999999999911</v>
      </c>
      <c r="N32" s="41">
        <f>'[9]Front and office'!C20</f>
        <v>7.9999999999999911</v>
      </c>
      <c r="O32" s="41">
        <f>'[9]Front and office'!D20</f>
        <v>0</v>
      </c>
      <c r="P32" s="41">
        <f>'[9]Front and office'!E20</f>
        <v>0</v>
      </c>
      <c r="Q32" s="41">
        <f>'[9]Front and office'!F20</f>
        <v>0</v>
      </c>
      <c r="R32" s="43"/>
      <c r="S32" s="43"/>
      <c r="T32" s="43"/>
      <c r="U32" s="43"/>
      <c r="V32" s="43"/>
      <c r="W32" s="43"/>
      <c r="X32" s="43"/>
      <c r="Y32" s="43"/>
    </row>
    <row r="33" spans="1:25" x14ac:dyDescent="0.2">
      <c r="A33" s="25"/>
      <c r="B33" s="18">
        <f t="shared" si="4"/>
        <v>43087</v>
      </c>
      <c r="C33" s="29">
        <f t="shared" si="2"/>
        <v>2</v>
      </c>
      <c r="D33" s="44">
        <f t="shared" si="3"/>
        <v>71.999999999999929</v>
      </c>
      <c r="E33" s="45"/>
      <c r="F33" s="41">
        <f>'[1]Front and office'!C21</f>
        <v>7.9999999999999911</v>
      </c>
      <c r="G33" s="41">
        <f>'[2]Front and office'!C21</f>
        <v>7.9999999999999911</v>
      </c>
      <c r="H33" s="41">
        <f>'[3]Front and office'!C21</f>
        <v>7.9999999999999911</v>
      </c>
      <c r="I33" s="41">
        <f>'[3]Front and office'!C21</f>
        <v>7.9999999999999911</v>
      </c>
      <c r="J33" s="41">
        <f>'[4]Front and office'!C21</f>
        <v>7.9999999999999911</v>
      </c>
      <c r="K33" s="41">
        <f>'[6]Front and office'!C21</f>
        <v>7.9999999999999911</v>
      </c>
      <c r="L33" s="41">
        <f>'[7]Front and office'!C21</f>
        <v>7.9999999999999911</v>
      </c>
      <c r="M33" s="41">
        <f>'[8]Front and office'!C21</f>
        <v>7.9999999999999911</v>
      </c>
      <c r="N33" s="41">
        <f>'[9]Front and office'!C21</f>
        <v>7.9999999999999911</v>
      </c>
      <c r="O33" s="41">
        <f>'[9]Front and office'!D21</f>
        <v>0</v>
      </c>
      <c r="P33" s="41">
        <f>'[9]Front and office'!E21</f>
        <v>0</v>
      </c>
      <c r="Q33" s="41">
        <f>'[9]Front and office'!F21</f>
        <v>0</v>
      </c>
      <c r="R33" s="43"/>
      <c r="S33" s="43"/>
      <c r="T33" s="43"/>
      <c r="U33" s="43"/>
      <c r="V33" s="43"/>
      <c r="W33" s="43"/>
      <c r="X33" s="43"/>
      <c r="Y33" s="43"/>
    </row>
    <row r="34" spans="1:25" x14ac:dyDescent="0.2">
      <c r="A34" s="25"/>
      <c r="B34" s="18">
        <f t="shared" si="4"/>
        <v>43088</v>
      </c>
      <c r="C34" s="29">
        <f t="shared" si="2"/>
        <v>3</v>
      </c>
      <c r="D34" s="44">
        <f t="shared" si="3"/>
        <v>63.999999999999936</v>
      </c>
      <c r="E34" s="45"/>
      <c r="F34" s="41">
        <f>'[1]Front and office'!C22</f>
        <v>0</v>
      </c>
      <c r="G34" s="41">
        <f>'[2]Front and office'!C22</f>
        <v>7.9999999999999911</v>
      </c>
      <c r="H34" s="41">
        <f>'[3]Front and office'!C22</f>
        <v>7.9999999999999911</v>
      </c>
      <c r="I34" s="41">
        <f>'[3]Front and office'!C22</f>
        <v>7.9999999999999911</v>
      </c>
      <c r="J34" s="41">
        <f>'[4]Front and office'!C22</f>
        <v>7.9999999999999911</v>
      </c>
      <c r="K34" s="41">
        <f>'[6]Front and office'!C22</f>
        <v>7.9999999999999911</v>
      </c>
      <c r="L34" s="41">
        <f>'[7]Front and office'!C22</f>
        <v>7.9999999999999911</v>
      </c>
      <c r="M34" s="41">
        <f>'[8]Front and office'!C22</f>
        <v>7.9999999999999911</v>
      </c>
      <c r="N34" s="41">
        <f>'[9]Front and office'!C22</f>
        <v>7.9999999999999911</v>
      </c>
      <c r="O34" s="41">
        <f>'[9]Front and office'!D22</f>
        <v>0</v>
      </c>
      <c r="P34" s="41">
        <f>'[9]Front and office'!E22</f>
        <v>0</v>
      </c>
      <c r="Q34" s="41">
        <f>'[9]Front and office'!F22</f>
        <v>0</v>
      </c>
      <c r="R34" s="43"/>
      <c r="S34" s="43"/>
      <c r="T34" s="43"/>
      <c r="U34" s="43"/>
      <c r="V34" s="43"/>
      <c r="W34" s="43"/>
      <c r="X34" s="43"/>
      <c r="Y34" s="43"/>
    </row>
    <row r="35" spans="1:25" x14ac:dyDescent="0.2">
      <c r="A35" s="25"/>
      <c r="B35" s="18">
        <f t="shared" si="4"/>
        <v>43089</v>
      </c>
      <c r="C35" s="29">
        <f t="shared" si="2"/>
        <v>4</v>
      </c>
      <c r="D35" s="44">
        <f t="shared" si="3"/>
        <v>71.999999999999929</v>
      </c>
      <c r="E35" s="45"/>
      <c r="F35" s="41">
        <f>'[1]Front and office'!C23</f>
        <v>7.9999999999999911</v>
      </c>
      <c r="G35" s="41">
        <f>'[2]Front and office'!C23</f>
        <v>7.9999999999999911</v>
      </c>
      <c r="H35" s="41">
        <f>'[3]Front and office'!C23</f>
        <v>7.9999999999999911</v>
      </c>
      <c r="I35" s="41">
        <f>'[3]Front and office'!C23</f>
        <v>7.9999999999999911</v>
      </c>
      <c r="J35" s="41">
        <f>'[4]Front and office'!C23</f>
        <v>7.9999999999999911</v>
      </c>
      <c r="K35" s="41">
        <f>'[6]Front and office'!C23</f>
        <v>7.9999999999999911</v>
      </c>
      <c r="L35" s="41">
        <f>'[7]Front and office'!C23</f>
        <v>7.9999999999999911</v>
      </c>
      <c r="M35" s="41">
        <f>'[8]Front and office'!C23</f>
        <v>7.9999999999999911</v>
      </c>
      <c r="N35" s="41">
        <f>'[9]Front and office'!C23</f>
        <v>7.9999999999999911</v>
      </c>
      <c r="O35" s="41">
        <f>'[9]Front and office'!D23</f>
        <v>0</v>
      </c>
      <c r="P35" s="41">
        <f>'[9]Front and office'!E23</f>
        <v>0</v>
      </c>
      <c r="Q35" s="41">
        <f>'[9]Front and office'!F23</f>
        <v>0</v>
      </c>
      <c r="R35" s="43"/>
      <c r="S35" s="43"/>
      <c r="T35" s="43"/>
      <c r="U35" s="43"/>
      <c r="V35" s="43"/>
      <c r="W35" s="43"/>
      <c r="X35" s="43"/>
      <c r="Y35" s="43"/>
    </row>
    <row r="36" spans="1:25" x14ac:dyDescent="0.2">
      <c r="A36" s="25"/>
      <c r="B36" s="18">
        <f t="shared" si="4"/>
        <v>43090</v>
      </c>
      <c r="C36" s="29">
        <f t="shared" si="2"/>
        <v>5</v>
      </c>
      <c r="D36" s="44">
        <f t="shared" si="3"/>
        <v>71.999999999999929</v>
      </c>
      <c r="E36" s="45"/>
      <c r="F36" s="41">
        <f>'[1]Front and office'!C24</f>
        <v>7.9999999999999911</v>
      </c>
      <c r="G36" s="41">
        <f>'[2]Front and office'!C24</f>
        <v>7.9999999999999911</v>
      </c>
      <c r="H36" s="41">
        <f>'[3]Front and office'!C24</f>
        <v>7.9999999999999911</v>
      </c>
      <c r="I36" s="41">
        <f>'[3]Front and office'!C24</f>
        <v>7.9999999999999911</v>
      </c>
      <c r="J36" s="41">
        <f>'[4]Front and office'!C24</f>
        <v>7.9999999999999911</v>
      </c>
      <c r="K36" s="41">
        <f>'[6]Front and office'!C24</f>
        <v>7.9999999999999911</v>
      </c>
      <c r="L36" s="41">
        <f>'[7]Front and office'!C24</f>
        <v>7.9999999999999911</v>
      </c>
      <c r="M36" s="41">
        <f>'[8]Front and office'!C24</f>
        <v>7.9999999999999911</v>
      </c>
      <c r="N36" s="41">
        <f>'[9]Front and office'!C24</f>
        <v>7.9999999999999911</v>
      </c>
      <c r="O36" s="41">
        <f>'[9]Front and office'!D24</f>
        <v>0</v>
      </c>
      <c r="P36" s="41">
        <f>'[9]Front and office'!E24</f>
        <v>0</v>
      </c>
      <c r="Q36" s="41">
        <f>'[9]Front and office'!F24</f>
        <v>0</v>
      </c>
      <c r="R36" s="43"/>
      <c r="S36" s="43"/>
      <c r="T36" s="43"/>
      <c r="U36" s="43"/>
      <c r="V36" s="43"/>
      <c r="W36" s="43"/>
      <c r="X36" s="43"/>
      <c r="Y36" s="43"/>
    </row>
    <row r="37" spans="1:25" x14ac:dyDescent="0.2">
      <c r="A37" s="25"/>
      <c r="B37" s="18">
        <f t="shared" si="4"/>
        <v>43091</v>
      </c>
      <c r="C37" s="29">
        <f t="shared" si="2"/>
        <v>6</v>
      </c>
      <c r="D37" s="44">
        <f t="shared" si="3"/>
        <v>71.999999999999929</v>
      </c>
      <c r="E37" s="45"/>
      <c r="F37" s="41">
        <f>'[1]Front and office'!C25</f>
        <v>7.9999999999999911</v>
      </c>
      <c r="G37" s="41">
        <f>'[2]Front and office'!C25</f>
        <v>7.9999999999999911</v>
      </c>
      <c r="H37" s="41">
        <f>'[3]Front and office'!C25</f>
        <v>7.9999999999999911</v>
      </c>
      <c r="I37" s="41">
        <f>'[3]Front and office'!C25</f>
        <v>7.9999999999999911</v>
      </c>
      <c r="J37" s="41">
        <f>'[4]Front and office'!C25</f>
        <v>7.9999999999999911</v>
      </c>
      <c r="K37" s="41">
        <f>'[6]Front and office'!C25</f>
        <v>7.9999999999999911</v>
      </c>
      <c r="L37" s="41">
        <f>'[7]Front and office'!C25</f>
        <v>7.9999999999999911</v>
      </c>
      <c r="M37" s="41">
        <f>'[8]Front and office'!C25</f>
        <v>7.9999999999999911</v>
      </c>
      <c r="N37" s="41">
        <f>'[9]Front and office'!C25</f>
        <v>7.9999999999999911</v>
      </c>
      <c r="O37" s="41">
        <f>'[9]Front and office'!D25</f>
        <v>0</v>
      </c>
      <c r="P37" s="41">
        <f>'[9]Front and office'!E25</f>
        <v>0</v>
      </c>
      <c r="Q37" s="41">
        <f>'[9]Front and office'!F25</f>
        <v>0</v>
      </c>
      <c r="R37" s="43"/>
      <c r="S37" s="43"/>
      <c r="T37" s="43"/>
      <c r="U37" s="43"/>
      <c r="V37" s="43"/>
      <c r="W37" s="43"/>
      <c r="X37" s="43"/>
      <c r="Y37" s="43"/>
    </row>
    <row r="38" spans="1:25" x14ac:dyDescent="0.2">
      <c r="A38" s="25"/>
      <c r="B38" s="18">
        <f t="shared" si="4"/>
        <v>43092</v>
      </c>
      <c r="C38" s="29">
        <f t="shared" si="2"/>
        <v>7</v>
      </c>
      <c r="D38" s="44">
        <f t="shared" si="3"/>
        <v>71.999999999999929</v>
      </c>
      <c r="E38" s="45"/>
      <c r="F38" s="41">
        <f>'[1]Front and office'!C26</f>
        <v>7.9999999999999911</v>
      </c>
      <c r="G38" s="41">
        <f>'[2]Front and office'!C26</f>
        <v>7.9999999999999911</v>
      </c>
      <c r="H38" s="41">
        <f>'[3]Front and office'!C26</f>
        <v>7.9999999999999911</v>
      </c>
      <c r="I38" s="41">
        <f>'[3]Front and office'!C26</f>
        <v>7.9999999999999911</v>
      </c>
      <c r="J38" s="41">
        <f>'[4]Front and office'!C26</f>
        <v>7.9999999999999911</v>
      </c>
      <c r="K38" s="41">
        <f>'[6]Front and office'!C26</f>
        <v>7.9999999999999911</v>
      </c>
      <c r="L38" s="41">
        <f>'[7]Front and office'!C26</f>
        <v>7.9999999999999911</v>
      </c>
      <c r="M38" s="41">
        <f>'[8]Front and office'!C26</f>
        <v>7.9999999999999911</v>
      </c>
      <c r="N38" s="41">
        <f>'[9]Front and office'!C26</f>
        <v>7.9999999999999911</v>
      </c>
      <c r="O38" s="41">
        <f>'[9]Front and office'!D26</f>
        <v>0</v>
      </c>
      <c r="P38" s="41">
        <f>'[9]Front and office'!E26</f>
        <v>0</v>
      </c>
      <c r="Q38" s="41">
        <f>'[9]Front and office'!F26</f>
        <v>0</v>
      </c>
      <c r="R38" s="43"/>
      <c r="S38" s="43"/>
      <c r="T38" s="43"/>
      <c r="U38" s="43"/>
      <c r="V38" s="43"/>
      <c r="W38" s="43"/>
      <c r="X38" s="43"/>
      <c r="Y38" s="43"/>
    </row>
    <row r="39" spans="1:25" x14ac:dyDescent="0.2">
      <c r="A39" s="25"/>
      <c r="B39" s="18">
        <f t="shared" si="4"/>
        <v>43093</v>
      </c>
      <c r="C39" s="29">
        <f t="shared" si="2"/>
        <v>1</v>
      </c>
      <c r="D39" s="44">
        <f t="shared" si="3"/>
        <v>71.999999999999929</v>
      </c>
      <c r="E39" s="45"/>
      <c r="F39" s="41">
        <f>'[1]Front and office'!C27</f>
        <v>7.9999999999999911</v>
      </c>
      <c r="G39" s="41">
        <f>'[2]Front and office'!C27</f>
        <v>7.9999999999999911</v>
      </c>
      <c r="H39" s="41">
        <f>'[3]Front and office'!C27</f>
        <v>7.9999999999999911</v>
      </c>
      <c r="I39" s="41">
        <f>'[3]Front and office'!C27</f>
        <v>7.9999999999999911</v>
      </c>
      <c r="J39" s="41">
        <f>'[4]Front and office'!C27</f>
        <v>7.9999999999999911</v>
      </c>
      <c r="K39" s="41">
        <f>'[6]Front and office'!C27</f>
        <v>7.9999999999999911</v>
      </c>
      <c r="L39" s="41">
        <f>'[7]Front and office'!C27</f>
        <v>7.9999999999999911</v>
      </c>
      <c r="M39" s="41">
        <f>'[8]Front and office'!C27</f>
        <v>7.9999999999999911</v>
      </c>
      <c r="N39" s="41">
        <f>'[9]Front and office'!C27</f>
        <v>7.9999999999999911</v>
      </c>
      <c r="O39" s="41">
        <f>'[9]Front and office'!D27</f>
        <v>0</v>
      </c>
      <c r="P39" s="41">
        <f>'[9]Front and office'!E27</f>
        <v>0</v>
      </c>
      <c r="Q39" s="41">
        <f>'[9]Front and office'!F27</f>
        <v>0</v>
      </c>
      <c r="R39" s="43"/>
      <c r="S39" s="43"/>
      <c r="T39" s="43"/>
      <c r="U39" s="43"/>
      <c r="V39" s="43"/>
      <c r="W39" s="43"/>
      <c r="X39" s="43"/>
      <c r="Y39" s="43"/>
    </row>
    <row r="40" spans="1:25" x14ac:dyDescent="0.2">
      <c r="A40" s="25"/>
      <c r="B40" s="18">
        <f t="shared" si="4"/>
        <v>43094</v>
      </c>
      <c r="C40" s="29">
        <f t="shared" si="2"/>
        <v>2</v>
      </c>
      <c r="D40" s="44">
        <f t="shared" si="3"/>
        <v>71.999999999999929</v>
      </c>
      <c r="E40" s="45"/>
      <c r="F40" s="41">
        <f>'[1]Front and office'!C28</f>
        <v>7.9999999999999911</v>
      </c>
      <c r="G40" s="41">
        <f>'[2]Front and office'!C28</f>
        <v>7.9999999999999911</v>
      </c>
      <c r="H40" s="41">
        <f>'[3]Front and office'!C28</f>
        <v>7.9999999999999911</v>
      </c>
      <c r="I40" s="41">
        <f>'[3]Front and office'!C28</f>
        <v>7.9999999999999911</v>
      </c>
      <c r="J40" s="41">
        <f>'[4]Front and office'!C28</f>
        <v>7.9999999999999911</v>
      </c>
      <c r="K40" s="41">
        <f>'[6]Front and office'!C28</f>
        <v>7.9999999999999911</v>
      </c>
      <c r="L40" s="41">
        <f>'[7]Front and office'!C28</f>
        <v>7.9999999999999911</v>
      </c>
      <c r="M40" s="41">
        <f>'[8]Front and office'!C28</f>
        <v>7.9999999999999911</v>
      </c>
      <c r="N40" s="41">
        <f>'[9]Front and office'!C28</f>
        <v>7.9999999999999911</v>
      </c>
      <c r="O40" s="41">
        <f>'[9]Front and office'!D28</f>
        <v>0</v>
      </c>
      <c r="P40" s="41">
        <f>'[9]Front and office'!E28</f>
        <v>0</v>
      </c>
      <c r="Q40" s="41">
        <f>'[9]Front and office'!F28</f>
        <v>0</v>
      </c>
      <c r="R40" s="43"/>
      <c r="S40" s="43"/>
      <c r="T40" s="43"/>
      <c r="U40" s="43"/>
      <c r="V40" s="43"/>
      <c r="W40" s="43"/>
      <c r="X40" s="43"/>
      <c r="Y40" s="43"/>
    </row>
    <row r="41" spans="1:25" x14ac:dyDescent="0.2">
      <c r="A41" s="25"/>
      <c r="B41" s="18">
        <f t="shared" si="4"/>
        <v>43095</v>
      </c>
      <c r="C41" s="29">
        <f t="shared" si="2"/>
        <v>3</v>
      </c>
      <c r="D41" s="44">
        <f t="shared" si="3"/>
        <v>71.999999999999929</v>
      </c>
      <c r="E41" s="45"/>
      <c r="F41" s="41">
        <f>'[1]Front and office'!C29</f>
        <v>7.9999999999999911</v>
      </c>
      <c r="G41" s="41">
        <f>'[2]Front and office'!C29</f>
        <v>7.9999999999999911</v>
      </c>
      <c r="H41" s="41">
        <f>'[3]Front and office'!C29</f>
        <v>7.9999999999999911</v>
      </c>
      <c r="I41" s="41">
        <f>'[3]Front and office'!C29</f>
        <v>7.9999999999999911</v>
      </c>
      <c r="J41" s="41">
        <f>'[4]Front and office'!C29</f>
        <v>7.9999999999999911</v>
      </c>
      <c r="K41" s="41">
        <f>'[6]Front and office'!C29</f>
        <v>7.9999999999999911</v>
      </c>
      <c r="L41" s="41">
        <f>'[7]Front and office'!C29</f>
        <v>7.9999999999999911</v>
      </c>
      <c r="M41" s="41">
        <f>'[8]Front and office'!C29</f>
        <v>7.9999999999999911</v>
      </c>
      <c r="N41" s="41">
        <f>'[9]Front and office'!C29</f>
        <v>7.9999999999999911</v>
      </c>
      <c r="O41" s="41">
        <f>'[9]Front and office'!D29</f>
        <v>0</v>
      </c>
      <c r="P41" s="41">
        <f>'[9]Front and office'!E29</f>
        <v>0</v>
      </c>
      <c r="Q41" s="41">
        <f>'[9]Front and office'!F29</f>
        <v>0</v>
      </c>
      <c r="R41" s="43"/>
      <c r="S41" s="43"/>
      <c r="T41" s="43"/>
      <c r="U41" s="43"/>
      <c r="V41" s="43"/>
      <c r="W41" s="43"/>
      <c r="X41" s="43"/>
      <c r="Y41" s="43"/>
    </row>
    <row r="42" spans="1:25" x14ac:dyDescent="0.2">
      <c r="A42" s="25"/>
      <c r="B42" s="18">
        <f t="shared" si="4"/>
        <v>43096</v>
      </c>
      <c r="C42" s="29">
        <f t="shared" si="2"/>
        <v>4</v>
      </c>
      <c r="D42" s="44">
        <f t="shared" si="3"/>
        <v>71.999999999999929</v>
      </c>
      <c r="E42" s="45"/>
      <c r="F42" s="41">
        <f>'[1]Front and office'!C30</f>
        <v>7.9999999999999911</v>
      </c>
      <c r="G42" s="41">
        <f>'[2]Front and office'!C30</f>
        <v>7.9999999999999911</v>
      </c>
      <c r="H42" s="41">
        <f>'[3]Front and office'!C30</f>
        <v>7.9999999999999911</v>
      </c>
      <c r="I42" s="41">
        <f>'[3]Front and office'!C30</f>
        <v>7.9999999999999911</v>
      </c>
      <c r="J42" s="41">
        <f>'[4]Front and office'!C30</f>
        <v>7.9999999999999911</v>
      </c>
      <c r="K42" s="41">
        <f>'[6]Front and office'!C30</f>
        <v>7.9999999999999911</v>
      </c>
      <c r="L42" s="41">
        <f>'[7]Front and office'!C30</f>
        <v>7.9999999999999911</v>
      </c>
      <c r="M42" s="41">
        <f>'[8]Front and office'!C30</f>
        <v>7.9999999999999911</v>
      </c>
      <c r="N42" s="41">
        <f>'[9]Front and office'!C30</f>
        <v>7.9999999999999911</v>
      </c>
      <c r="O42" s="41">
        <f>'[9]Front and office'!D30</f>
        <v>0</v>
      </c>
      <c r="P42" s="41">
        <f>'[9]Front and office'!E30</f>
        <v>0</v>
      </c>
      <c r="Q42" s="41">
        <f>'[9]Front and office'!F30</f>
        <v>0</v>
      </c>
      <c r="R42" s="43"/>
      <c r="S42" s="43"/>
      <c r="T42" s="43"/>
      <c r="U42" s="43"/>
      <c r="V42" s="43"/>
      <c r="W42" s="43"/>
      <c r="X42" s="43"/>
      <c r="Y42" s="43"/>
    </row>
    <row r="43" spans="1:25" x14ac:dyDescent="0.2">
      <c r="A43" s="25"/>
      <c r="B43" s="18">
        <f t="shared" si="4"/>
        <v>43097</v>
      </c>
      <c r="C43" s="29">
        <f t="shared" si="2"/>
        <v>5</v>
      </c>
      <c r="D43" s="44">
        <f t="shared" si="3"/>
        <v>71.999999999999929</v>
      </c>
      <c r="E43" s="45"/>
      <c r="F43" s="41">
        <f>'[1]Front and office'!C31</f>
        <v>7.9999999999999911</v>
      </c>
      <c r="G43" s="41">
        <f>'[2]Front and office'!C31</f>
        <v>7.9999999999999911</v>
      </c>
      <c r="H43" s="41">
        <f>'[3]Front and office'!C31</f>
        <v>7.9999999999999911</v>
      </c>
      <c r="I43" s="41">
        <f>'[3]Front and office'!C31</f>
        <v>7.9999999999999911</v>
      </c>
      <c r="J43" s="41">
        <f>'[4]Front and office'!C31</f>
        <v>7.9999999999999911</v>
      </c>
      <c r="K43" s="41">
        <f>'[6]Front and office'!C31</f>
        <v>7.9999999999999911</v>
      </c>
      <c r="L43" s="41">
        <f>'[7]Front and office'!C31</f>
        <v>7.9999999999999911</v>
      </c>
      <c r="M43" s="41">
        <f>'[8]Front and office'!C31</f>
        <v>7.9999999999999911</v>
      </c>
      <c r="N43" s="41">
        <f>'[9]Front and office'!C31</f>
        <v>7.9999999999999911</v>
      </c>
      <c r="O43" s="41">
        <f>'[9]Front and office'!D31</f>
        <v>0</v>
      </c>
      <c r="P43" s="41">
        <f>'[9]Front and office'!E31</f>
        <v>0</v>
      </c>
      <c r="Q43" s="41">
        <f>'[9]Front and office'!F31</f>
        <v>0</v>
      </c>
      <c r="R43" s="43"/>
      <c r="S43" s="43"/>
      <c r="T43" s="43"/>
      <c r="U43" s="43"/>
      <c r="V43" s="43"/>
      <c r="W43" s="43"/>
      <c r="X43" s="43"/>
      <c r="Y43" s="43"/>
    </row>
    <row r="44" spans="1:25" x14ac:dyDescent="0.2">
      <c r="A44" s="25"/>
      <c r="B44" s="18">
        <f t="shared" si="4"/>
        <v>43098</v>
      </c>
      <c r="C44" s="29">
        <f t="shared" si="2"/>
        <v>6</v>
      </c>
      <c r="D44" s="44">
        <f t="shared" si="3"/>
        <v>71.999999999999929</v>
      </c>
      <c r="E44" s="45"/>
      <c r="F44" s="41">
        <f>'[1]Front and office'!C32</f>
        <v>7.9999999999999911</v>
      </c>
      <c r="G44" s="41">
        <f>'[2]Front and office'!C32</f>
        <v>7.9999999999999911</v>
      </c>
      <c r="H44" s="41">
        <f>'[3]Front and office'!C32</f>
        <v>7.9999999999999911</v>
      </c>
      <c r="I44" s="41">
        <f>'[3]Front and office'!C32</f>
        <v>7.9999999999999911</v>
      </c>
      <c r="J44" s="41">
        <f>'[4]Front and office'!C32</f>
        <v>7.9999999999999911</v>
      </c>
      <c r="K44" s="41">
        <f>'[6]Front and office'!C32</f>
        <v>7.9999999999999911</v>
      </c>
      <c r="L44" s="41">
        <f>'[7]Front and office'!C32</f>
        <v>7.9999999999999911</v>
      </c>
      <c r="M44" s="41">
        <f>'[8]Front and office'!C32</f>
        <v>7.9999999999999911</v>
      </c>
      <c r="N44" s="41">
        <f>'[9]Front and office'!C32</f>
        <v>7.9999999999999911</v>
      </c>
      <c r="O44" s="41">
        <f>'[9]Front and office'!D32</f>
        <v>0</v>
      </c>
      <c r="P44" s="41">
        <f>'[9]Front and office'!E32</f>
        <v>0</v>
      </c>
      <c r="Q44" s="41">
        <f>'[9]Front and office'!F32</f>
        <v>0</v>
      </c>
      <c r="R44" s="43"/>
      <c r="S44" s="43"/>
      <c r="T44" s="43"/>
      <c r="U44" s="43"/>
      <c r="V44" s="43"/>
      <c r="W44" s="43"/>
      <c r="X44" s="43"/>
      <c r="Y44" s="43"/>
    </row>
    <row r="45" spans="1:25" x14ac:dyDescent="0.2">
      <c r="A45" s="25"/>
      <c r="B45" s="18">
        <f t="shared" si="4"/>
        <v>43099</v>
      </c>
      <c r="C45" s="29">
        <f t="shared" si="2"/>
        <v>7</v>
      </c>
      <c r="D45" s="44">
        <f t="shared" si="3"/>
        <v>71.999999999999929</v>
      </c>
      <c r="E45" s="45"/>
      <c r="F45" s="41">
        <f>'[1]Front and office'!C33</f>
        <v>7.9999999999999911</v>
      </c>
      <c r="G45" s="41">
        <f>'[2]Front and office'!C33</f>
        <v>7.9999999999999911</v>
      </c>
      <c r="H45" s="41">
        <f>'[3]Front and office'!C33</f>
        <v>7.9999999999999911</v>
      </c>
      <c r="I45" s="41">
        <f>'[3]Front and office'!C33</f>
        <v>7.9999999999999911</v>
      </c>
      <c r="J45" s="41">
        <f>'[4]Front and office'!C33</f>
        <v>7.9999999999999911</v>
      </c>
      <c r="K45" s="41">
        <f>'[6]Front and office'!C33</f>
        <v>7.9999999999999911</v>
      </c>
      <c r="L45" s="41">
        <f>'[7]Front and office'!C33</f>
        <v>7.9999999999999911</v>
      </c>
      <c r="M45" s="41">
        <f>'[8]Front and office'!C33</f>
        <v>7.9999999999999911</v>
      </c>
      <c r="N45" s="41">
        <f>'[9]Front and office'!C33</f>
        <v>7.9999999999999911</v>
      </c>
      <c r="O45" s="41">
        <f>'[9]Front and office'!D33</f>
        <v>0</v>
      </c>
      <c r="P45" s="41">
        <f>'[9]Front and office'!E33</f>
        <v>0</v>
      </c>
      <c r="Q45" s="41">
        <f>'[9]Front and office'!F33</f>
        <v>0</v>
      </c>
      <c r="R45" s="43"/>
      <c r="S45" s="43"/>
      <c r="T45" s="43"/>
      <c r="U45" s="43"/>
      <c r="V45" s="43"/>
      <c r="W45" s="43"/>
      <c r="X45" s="43"/>
      <c r="Y45" s="43"/>
    </row>
    <row r="46" spans="1:25" x14ac:dyDescent="0.2">
      <c r="B46" s="18">
        <f>B45+1</f>
        <v>43100</v>
      </c>
      <c r="C46" s="29">
        <f t="shared" si="2"/>
        <v>1</v>
      </c>
      <c r="D46" s="44">
        <f t="shared" ref="D46" si="5">SUM(F46:Y46)</f>
        <v>71.999999999999929</v>
      </c>
      <c r="E46" s="45"/>
      <c r="F46" s="41">
        <f>'[1]Front and office'!C34</f>
        <v>7.9999999999999911</v>
      </c>
      <c r="G46" s="41">
        <f>'[2]Front and office'!C34</f>
        <v>7.9999999999999911</v>
      </c>
      <c r="H46" s="41">
        <f>'[3]Front and office'!C34</f>
        <v>7.9999999999999911</v>
      </c>
      <c r="I46" s="41">
        <f>'[3]Front and office'!C34</f>
        <v>7.9999999999999911</v>
      </c>
      <c r="J46" s="41">
        <f>'[4]Front and office'!C34</f>
        <v>7.9999999999999911</v>
      </c>
      <c r="K46" s="41">
        <f>'[6]Front and office'!C34</f>
        <v>7.9999999999999911</v>
      </c>
      <c r="L46" s="41">
        <f>'[7]Front and office'!C34</f>
        <v>7.9999999999999911</v>
      </c>
      <c r="M46" s="41">
        <f>'[8]Front and office'!C34</f>
        <v>7.9999999999999911</v>
      </c>
      <c r="N46" s="41">
        <f>'[9]Front and office'!C34</f>
        <v>7.9999999999999911</v>
      </c>
      <c r="O46" s="41">
        <f>'[9]Front and office'!D34</f>
        <v>0</v>
      </c>
      <c r="P46" s="41">
        <f>'[9]Front and office'!E34</f>
        <v>0</v>
      </c>
      <c r="Q46" s="41">
        <f>'[9]Front and office'!F34</f>
        <v>0</v>
      </c>
      <c r="R46" s="43"/>
      <c r="S46" s="43"/>
      <c r="T46" s="43"/>
      <c r="U46" s="43"/>
      <c r="V46" s="43"/>
      <c r="W46" s="43"/>
      <c r="X46" s="43"/>
      <c r="Y46" s="43"/>
    </row>
    <row r="47" spans="1:25" x14ac:dyDescent="0.2">
      <c r="B47" s="15"/>
    </row>
    <row r="48" spans="1:25" x14ac:dyDescent="0.2">
      <c r="B48" s="15"/>
    </row>
    <row r="49" spans="2:2" x14ac:dyDescent="0.2">
      <c r="B49" s="15"/>
    </row>
    <row r="75" spans="1:17" x14ac:dyDescent="0.25">
      <c r="B75" s="92"/>
      <c r="C75" s="92"/>
      <c r="D75" s="92"/>
      <c r="E75" s="92"/>
      <c r="F75" s="92"/>
      <c r="G75" s="92"/>
      <c r="H75" s="94"/>
      <c r="I75" s="94"/>
      <c r="J75" s="94"/>
      <c r="K75" s="94"/>
      <c r="L75" s="94"/>
      <c r="M75" s="94"/>
      <c r="N75" s="94"/>
      <c r="O75" s="94"/>
      <c r="P75" s="94"/>
      <c r="Q75" s="94"/>
    </row>
    <row r="76" spans="1:17" x14ac:dyDescent="0.25">
      <c r="B76" s="93"/>
      <c r="C76" s="93"/>
      <c r="D76" s="93"/>
      <c r="E76" s="93"/>
      <c r="F76" s="93"/>
      <c r="G76" s="92"/>
      <c r="H76" s="94"/>
      <c r="I76" s="94"/>
      <c r="J76" s="94"/>
      <c r="K76" s="94"/>
      <c r="L76" s="94"/>
      <c r="M76" s="94"/>
      <c r="N76" s="94"/>
      <c r="O76" s="94"/>
      <c r="P76" s="94"/>
      <c r="Q76" s="94"/>
    </row>
    <row r="77" spans="1:17" ht="15" hidden="1" customHeight="1" x14ac:dyDescent="0.25">
      <c r="B77" s="93"/>
      <c r="C77" s="93"/>
      <c r="D77" s="93"/>
      <c r="E77" s="93"/>
      <c r="F77" s="93"/>
      <c r="G77" s="92"/>
      <c r="H77" s="92"/>
      <c r="I77" s="94"/>
      <c r="J77" s="94"/>
      <c r="K77" s="94"/>
      <c r="L77" s="94"/>
      <c r="M77" s="94"/>
      <c r="N77" s="94"/>
      <c r="O77" s="94"/>
      <c r="P77" s="94"/>
      <c r="Q77" s="94"/>
    </row>
    <row r="78" spans="1:17" x14ac:dyDescent="0.25">
      <c r="A78" s="87"/>
      <c r="B78" s="93"/>
      <c r="C78" s="93"/>
      <c r="D78" s="88"/>
      <c r="E78" s="88"/>
      <c r="F78" s="89" t="s">
        <v>48</v>
      </c>
      <c r="G78" s="88" t="s">
        <v>47</v>
      </c>
      <c r="H78" s="103"/>
      <c r="I78" s="107" t="s">
        <v>66</v>
      </c>
      <c r="J78" s="108"/>
      <c r="K78" s="108"/>
      <c r="L78" s="108"/>
      <c r="M78" s="109"/>
      <c r="N78" s="94"/>
      <c r="O78" s="94"/>
      <c r="P78" s="94"/>
      <c r="Q78" s="94"/>
    </row>
    <row r="79" spans="1:17" x14ac:dyDescent="0.25">
      <c r="A79" s="87"/>
      <c r="B79" s="92"/>
      <c r="C79" s="92"/>
      <c r="D79" s="90"/>
      <c r="E79" s="90"/>
      <c r="F79" s="91" t="s">
        <v>49</v>
      </c>
      <c r="G79" s="91" t="s">
        <v>53</v>
      </c>
      <c r="H79" s="104" t="s">
        <v>54</v>
      </c>
      <c r="I79" s="105" t="s">
        <v>67</v>
      </c>
      <c r="J79" s="105" t="s">
        <v>68</v>
      </c>
      <c r="K79" s="105" t="s">
        <v>69</v>
      </c>
      <c r="L79" s="105" t="s">
        <v>70</v>
      </c>
      <c r="M79" s="105" t="s">
        <v>71</v>
      </c>
      <c r="N79" s="94"/>
      <c r="O79" s="94"/>
      <c r="P79" s="94"/>
      <c r="Q79" s="94"/>
    </row>
    <row r="80" spans="1:17" x14ac:dyDescent="0.25">
      <c r="A80" s="87"/>
      <c r="B80" s="92"/>
      <c r="C80" s="92"/>
      <c r="D80" s="90"/>
      <c r="E80" s="90"/>
      <c r="F80" s="91" t="s">
        <v>50</v>
      </c>
      <c r="G80" s="91" t="s">
        <v>60</v>
      </c>
      <c r="H80" s="104" t="s">
        <v>55</v>
      </c>
      <c r="I80" s="105" t="s">
        <v>72</v>
      </c>
      <c r="J80" s="105" t="s">
        <v>73</v>
      </c>
      <c r="K80" s="105">
        <v>1</v>
      </c>
      <c r="L80" s="105" t="s">
        <v>74</v>
      </c>
      <c r="M80" s="105" t="s">
        <v>75</v>
      </c>
      <c r="N80" s="94"/>
      <c r="O80" s="94"/>
      <c r="P80" s="94"/>
      <c r="Q80" s="94"/>
    </row>
    <row r="81" spans="1:13" x14ac:dyDescent="0.25">
      <c r="A81" s="87"/>
      <c r="B81" s="87"/>
      <c r="C81" s="87"/>
      <c r="D81" s="90"/>
      <c r="E81" s="90"/>
      <c r="F81" s="91" t="s">
        <v>51</v>
      </c>
      <c r="G81" s="91" t="s">
        <v>61</v>
      </c>
      <c r="H81" s="104" t="s">
        <v>56</v>
      </c>
      <c r="I81" s="105" t="s">
        <v>76</v>
      </c>
      <c r="J81" s="105" t="s">
        <v>77</v>
      </c>
      <c r="K81" s="105">
        <v>1</v>
      </c>
      <c r="L81" s="105" t="s">
        <v>78</v>
      </c>
      <c r="M81" s="105" t="s">
        <v>79</v>
      </c>
    </row>
    <row r="82" spans="1:13" x14ac:dyDescent="0.25">
      <c r="A82" s="87"/>
      <c r="B82" s="87"/>
      <c r="C82" s="87"/>
      <c r="D82" s="90"/>
      <c r="E82" s="90"/>
      <c r="F82" s="91"/>
      <c r="G82" s="91" t="s">
        <v>62</v>
      </c>
      <c r="H82" s="104" t="s">
        <v>57</v>
      </c>
      <c r="I82" s="106"/>
      <c r="J82" s="106"/>
      <c r="K82" s="106"/>
      <c r="L82" s="106"/>
      <c r="M82" s="106"/>
    </row>
    <row r="83" spans="1:13" x14ac:dyDescent="0.25">
      <c r="A83" s="87"/>
      <c r="B83" s="87"/>
      <c r="C83" s="87"/>
      <c r="D83" s="90"/>
      <c r="E83" s="90"/>
      <c r="F83" s="91"/>
      <c r="G83" s="91" t="s">
        <v>63</v>
      </c>
      <c r="H83" s="91" t="s">
        <v>58</v>
      </c>
    </row>
    <row r="84" spans="1:13" x14ac:dyDescent="0.25">
      <c r="A84" s="87"/>
      <c r="B84" s="87"/>
      <c r="C84" s="87"/>
      <c r="D84" s="90"/>
      <c r="E84" s="90"/>
      <c r="F84" s="91"/>
      <c r="G84" s="91" t="s">
        <v>64</v>
      </c>
      <c r="H84" s="91" t="s">
        <v>59</v>
      </c>
    </row>
    <row r="85" spans="1:13" x14ac:dyDescent="0.25">
      <c r="A85" s="87"/>
      <c r="B85" s="87"/>
      <c r="C85" s="87"/>
      <c r="D85" s="90"/>
      <c r="E85" s="90"/>
      <c r="F85" s="91"/>
      <c r="G85" s="90"/>
      <c r="H85" s="90"/>
    </row>
    <row r="86" spans="1:13" x14ac:dyDescent="0.25">
      <c r="A86" s="87"/>
      <c r="B86" s="87"/>
      <c r="C86" s="87"/>
      <c r="D86" s="90"/>
      <c r="E86" s="90"/>
      <c r="F86" s="91"/>
      <c r="G86" s="90"/>
      <c r="H86" s="90"/>
    </row>
    <row r="87" spans="1:13" x14ac:dyDescent="0.25">
      <c r="A87" s="87"/>
      <c r="B87" s="87"/>
      <c r="C87" s="87"/>
      <c r="D87" s="90"/>
      <c r="E87" s="90"/>
      <c r="F87" s="91"/>
      <c r="G87" s="90"/>
      <c r="H87" s="90"/>
    </row>
    <row r="88" spans="1:13" x14ac:dyDescent="0.25">
      <c r="A88" s="87"/>
      <c r="B88" s="87"/>
      <c r="C88" s="87"/>
      <c r="D88" s="90"/>
      <c r="E88" s="90"/>
      <c r="F88" s="91"/>
      <c r="G88" s="90"/>
      <c r="H88" s="90"/>
    </row>
    <row r="89" spans="1:13" x14ac:dyDescent="0.25">
      <c r="A89" s="87"/>
      <c r="B89" s="87"/>
      <c r="C89" s="87"/>
      <c r="D89" s="90" t="s">
        <v>52</v>
      </c>
      <c r="E89" s="90"/>
      <c r="F89" s="91"/>
      <c r="G89" s="87"/>
      <c r="H89" s="87"/>
    </row>
    <row r="90" spans="1:13" x14ac:dyDescent="0.25">
      <c r="A90" s="87"/>
      <c r="B90" s="87"/>
      <c r="C90" s="87"/>
      <c r="D90" s="90"/>
      <c r="E90" s="90"/>
      <c r="F90" s="91"/>
      <c r="G90" s="87"/>
      <c r="H90" s="87"/>
    </row>
    <row r="91" spans="1:13" x14ac:dyDescent="0.25">
      <c r="A91" s="87"/>
      <c r="B91" s="87"/>
      <c r="C91" s="87"/>
      <c r="D91" s="90"/>
      <c r="E91" s="90"/>
      <c r="F91" s="91"/>
      <c r="G91" s="87"/>
    </row>
    <row r="92" spans="1:13" x14ac:dyDescent="0.25">
      <c r="A92" s="87"/>
      <c r="B92" s="87"/>
      <c r="C92" s="87"/>
      <c r="D92" s="90"/>
      <c r="E92" s="90"/>
      <c r="F92" s="91"/>
      <c r="G92" s="87"/>
    </row>
    <row r="93" spans="1:13" x14ac:dyDescent="0.25">
      <c r="A93" s="87"/>
      <c r="B93" s="87"/>
      <c r="C93" s="87"/>
      <c r="D93" s="90"/>
      <c r="E93" s="90"/>
      <c r="F93" s="91"/>
      <c r="G93" s="87"/>
    </row>
    <row r="94" spans="1:13" x14ac:dyDescent="0.25">
      <c r="A94" s="87"/>
      <c r="B94" s="87"/>
      <c r="C94" s="87"/>
      <c r="D94" s="90"/>
      <c r="E94" s="90"/>
      <c r="F94" s="91"/>
      <c r="G94" s="87"/>
    </row>
    <row r="95" spans="1:13" x14ac:dyDescent="0.25">
      <c r="A95" s="87"/>
      <c r="B95" s="87"/>
      <c r="C95" s="87"/>
      <c r="D95" s="90"/>
      <c r="E95" s="90"/>
      <c r="F95" s="91"/>
      <c r="G95" s="87"/>
    </row>
    <row r="96" spans="1:13" x14ac:dyDescent="0.25">
      <c r="A96" s="87"/>
      <c r="B96" s="87"/>
      <c r="C96" s="87"/>
      <c r="D96" s="90"/>
      <c r="E96" s="90"/>
      <c r="F96" s="91"/>
      <c r="G96" s="87"/>
    </row>
    <row r="97" spans="1:7" x14ac:dyDescent="0.25">
      <c r="A97" s="87"/>
      <c r="B97" s="87"/>
      <c r="C97" s="87"/>
      <c r="D97" s="90"/>
      <c r="E97" s="90"/>
      <c r="F97" s="91"/>
      <c r="G97" s="87"/>
    </row>
    <row r="98" spans="1:7" x14ac:dyDescent="0.25">
      <c r="A98" s="87"/>
      <c r="B98" s="87"/>
      <c r="C98" s="87"/>
      <c r="D98" s="90"/>
      <c r="E98" s="90"/>
      <c r="F98" s="91"/>
      <c r="G98" s="87"/>
    </row>
    <row r="99" spans="1:7" x14ac:dyDescent="0.25">
      <c r="A99" s="87"/>
      <c r="B99" s="87"/>
      <c r="C99" s="87"/>
      <c r="D99" s="90"/>
      <c r="E99" s="90"/>
      <c r="F99" s="91"/>
      <c r="G99" s="87"/>
    </row>
    <row r="100" spans="1:7" x14ac:dyDescent="0.25">
      <c r="A100" s="87"/>
      <c r="B100" s="87"/>
      <c r="C100" s="87"/>
      <c r="D100" s="87"/>
      <c r="E100" s="87"/>
      <c r="F100" s="87"/>
      <c r="G100" s="87"/>
    </row>
    <row r="101" spans="1:7" x14ac:dyDescent="0.25">
      <c r="B101" s="87"/>
      <c r="C101" s="87"/>
      <c r="D101" s="87"/>
      <c r="E101" s="87"/>
      <c r="F101" s="87"/>
      <c r="G101" s="87"/>
    </row>
    <row r="102" spans="1:7" x14ac:dyDescent="0.25">
      <c r="B102" s="87"/>
      <c r="C102" s="87"/>
      <c r="D102" s="87"/>
      <c r="E102" s="87"/>
      <c r="F102" s="87"/>
      <c r="G102" s="87"/>
    </row>
  </sheetData>
  <dataConsolidate/>
  <mergeCells count="108">
    <mergeCell ref="G78:H78"/>
    <mergeCell ref="I78:M78"/>
    <mergeCell ref="G85:H85"/>
    <mergeCell ref="G86:H86"/>
    <mergeCell ref="G87:H87"/>
    <mergeCell ref="G88:H88"/>
    <mergeCell ref="D95:E95"/>
    <mergeCell ref="D96:E96"/>
    <mergeCell ref="D97:E97"/>
    <mergeCell ref="D98:E98"/>
    <mergeCell ref="D99:E99"/>
    <mergeCell ref="D90:E90"/>
    <mergeCell ref="D91:E91"/>
    <mergeCell ref="D92:E92"/>
    <mergeCell ref="D93:E93"/>
    <mergeCell ref="D94:E94"/>
    <mergeCell ref="D85:E85"/>
    <mergeCell ref="D86:E86"/>
    <mergeCell ref="D87:E87"/>
    <mergeCell ref="D88:E88"/>
    <mergeCell ref="D89:E89"/>
    <mergeCell ref="D80:E80"/>
    <mergeCell ref="D81:E81"/>
    <mergeCell ref="D82:E82"/>
    <mergeCell ref="D83:E83"/>
    <mergeCell ref="D84:E84"/>
    <mergeCell ref="B76:C77"/>
    <mergeCell ref="D76:F77"/>
    <mergeCell ref="B78:C78"/>
    <mergeCell ref="D78:E78"/>
    <mergeCell ref="D79:E79"/>
    <mergeCell ref="Y10:Y11"/>
    <mergeCell ref="T10:T11"/>
    <mergeCell ref="U10:U11"/>
    <mergeCell ref="V10:V11"/>
    <mergeCell ref="W10:W11"/>
    <mergeCell ref="X10:X11"/>
    <mergeCell ref="W12:W13"/>
    <mergeCell ref="X12:X13"/>
    <mergeCell ref="Y12:Y13"/>
    <mergeCell ref="G10:G11"/>
    <mergeCell ref="H10:H11"/>
    <mergeCell ref="I10:I11"/>
    <mergeCell ref="J10:J11"/>
    <mergeCell ref="K10:K11"/>
    <mergeCell ref="L10:L11"/>
    <mergeCell ref="M10:M11"/>
    <mergeCell ref="N10:N11"/>
    <mergeCell ref="O10:O11"/>
    <mergeCell ref="P10:P11"/>
    <mergeCell ref="Q10:Q11"/>
    <mergeCell ref="R10:R11"/>
    <mergeCell ref="S10:S11"/>
    <mergeCell ref="R12:R13"/>
    <mergeCell ref="S12:S13"/>
    <mergeCell ref="T12:T13"/>
    <mergeCell ref="U12:U13"/>
    <mergeCell ref="V12:V13"/>
    <mergeCell ref="B14:B15"/>
    <mergeCell ref="C14:C15"/>
    <mergeCell ref="D15:E15"/>
    <mergeCell ref="D38:E38"/>
    <mergeCell ref="D39:E39"/>
    <mergeCell ref="D32:E32"/>
    <mergeCell ref="D33:E33"/>
    <mergeCell ref="D34:E34"/>
    <mergeCell ref="D35:E35"/>
    <mergeCell ref="D29:E29"/>
    <mergeCell ref="D30:E30"/>
    <mergeCell ref="D31:E31"/>
    <mergeCell ref="D44:E44"/>
    <mergeCell ref="D45:E45"/>
    <mergeCell ref="D40:E40"/>
    <mergeCell ref="D41:E41"/>
    <mergeCell ref="D42:E42"/>
    <mergeCell ref="D43:E43"/>
    <mergeCell ref="Z10:Z13"/>
    <mergeCell ref="D12:E13"/>
    <mergeCell ref="F10:F11"/>
    <mergeCell ref="B12:C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D46:E46"/>
    <mergeCell ref="D16:E16"/>
    <mergeCell ref="D17:E17"/>
    <mergeCell ref="D18:E18"/>
    <mergeCell ref="D19:E19"/>
    <mergeCell ref="D25:E25"/>
    <mergeCell ref="D20:E20"/>
    <mergeCell ref="D21:E21"/>
    <mergeCell ref="D22:E22"/>
    <mergeCell ref="D23:E23"/>
    <mergeCell ref="D24:E24"/>
    <mergeCell ref="D36:E36"/>
    <mergeCell ref="D37:E37"/>
    <mergeCell ref="D26:E26"/>
    <mergeCell ref="D27:E27"/>
    <mergeCell ref="D28:E28"/>
  </mergeCells>
  <conditionalFormatting sqref="F16:Y46">
    <cfRule type="iconSet" priority="8">
      <iconSet iconSet="5Quarters">
        <cfvo type="percent" val="0"/>
        <cfvo type="num" val="0"/>
        <cfvo type="num" val="6"/>
        <cfvo type="num" val="8"/>
        <cfvo type="num" val="11"/>
      </iconSet>
    </cfRule>
  </conditionalFormatting>
  <conditionalFormatting sqref="B16:Y46">
    <cfRule type="expression" dxfId="1" priority="2">
      <formula>$C15=6</formula>
    </cfRule>
    <cfRule type="expression" dxfId="0" priority="3">
      <formula>$C15=7</formula>
    </cfRule>
  </conditionalFormatting>
  <conditionalFormatting sqref="F14:Y14">
    <cfRule type="iconSet" priority="1">
      <iconSet iconSet="3Flags">
        <cfvo type="percent" val="0"/>
        <cfvo type="num" val="200"/>
        <cfvo type="num" val="230"/>
      </iconSet>
    </cfRule>
  </conditionalFormatting>
  <dataValidations count="2">
    <dataValidation type="list" allowBlank="1" showInputMessage="1" showErrorMessage="1" sqref="F7:Y7">
      <formula1>$F$79:$F$81</formula1>
    </dataValidation>
    <dataValidation type="list" allowBlank="1" showInputMessage="1" showErrorMessage="1" sqref="F6:Y6">
      <formula1>$G$80:$G$84</formula1>
    </dataValidation>
  </dataValidations>
  <hyperlinks>
    <hyperlink ref="F10:F11" r:id="rId1" display="KOTENKO YURII E"/>
    <hyperlink ref="G10:G11" r:id="rId2" display="GAMAGA SERHII E"/>
    <hyperlink ref="H10:H11" r:id="rId3" display="MINIUK SERHII E"/>
    <hyperlink ref="I10:I11" r:id="rId4" display="SKYBA VITALII E.xlsx"/>
    <hyperlink ref="J10:J11" r:id="rId5" display="SKYBA MIKOLAJ E"/>
    <hyperlink ref="K10:K11" r:id="rId6" display="SLOBODIAN OLEKSII E"/>
    <hyperlink ref="L10:L11" r:id="rId7" display="KUCHERIAVYI MYKHAILO E"/>
    <hyperlink ref="M10:M11" r:id="rId8" display="BALANIUK ILLIA E"/>
    <hyperlink ref="N10:N11" r:id="rId9" display="BALANIUK SERHII E"/>
    <hyperlink ref="O10:O11" r:id="rId10" display="Zapas1"/>
    <hyperlink ref="P10:P11" r:id="rId11" display="Zapas2"/>
    <hyperlink ref="Q10:Q11" r:id="rId12" display="Zapas3"/>
  </hyperlinks>
  <pageMargins left="0.7" right="0.7" top="0.75" bottom="0.75" header="0.3" footer="0.3"/>
  <pageSetup paperSize="9" orientation="portrait" horizontalDpi="0" verticalDpi="0" r:id="rId13"/>
  <drawing r:id="rId14"/>
  <legacyDrawing r:id="rId1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255"/>
  <sheetViews>
    <sheetView showGridLines="0" zoomScale="90" zoomScaleNormal="90" workbookViewId="0">
      <pane ySplit="3" topLeftCell="A4" activePane="bottomLeft" state="frozen"/>
      <selection pane="bottomLeft" activeCell="H11" sqref="H11"/>
    </sheetView>
  </sheetViews>
  <sheetFormatPr defaultRowHeight="15" x14ac:dyDescent="0.25"/>
  <cols>
    <col min="1" max="1" width="3.7109375" customWidth="1"/>
    <col min="2" max="2" width="6.140625" customWidth="1"/>
    <col min="3" max="3" width="41.7109375" customWidth="1"/>
    <col min="4" max="4" width="9.42578125" customWidth="1"/>
    <col min="5" max="6" width="13.42578125" bestFit="1" customWidth="1"/>
    <col min="7" max="7" width="11" bestFit="1" customWidth="1"/>
    <col min="8" max="8" width="18.7109375" customWidth="1"/>
    <col min="9" max="9" width="20.85546875" customWidth="1"/>
    <col min="10" max="10" width="13.42578125" bestFit="1" customWidth="1"/>
    <col min="11" max="11" width="6" bestFit="1" customWidth="1"/>
    <col min="12" max="12" width="14.140625" customWidth="1"/>
    <col min="13" max="13" width="14.140625" bestFit="1" customWidth="1"/>
    <col min="14" max="14" width="18.28515625" customWidth="1"/>
  </cols>
  <sheetData>
    <row r="1" spans="1:15" ht="67.5" customHeight="1" x14ac:dyDescent="0.25">
      <c r="A1" s="13"/>
      <c r="B1" s="67" t="s">
        <v>14</v>
      </c>
      <c r="C1" s="67"/>
      <c r="D1" s="13"/>
      <c r="E1" s="13"/>
      <c r="F1" s="13"/>
      <c r="G1" s="13"/>
      <c r="H1" s="13"/>
      <c r="I1" s="13"/>
      <c r="J1" s="68" t="s">
        <v>15</v>
      </c>
      <c r="K1" s="68"/>
      <c r="L1" s="68"/>
      <c r="M1" s="68"/>
      <c r="N1" s="68"/>
      <c r="O1" s="13"/>
    </row>
    <row r="2" spans="1:15" x14ac:dyDescent="0.25">
      <c r="A2" s="13"/>
      <c r="B2" s="71" t="s">
        <v>0</v>
      </c>
      <c r="C2" s="71" t="s">
        <v>1</v>
      </c>
      <c r="D2" s="69" t="s">
        <v>2</v>
      </c>
      <c r="E2" s="73" t="s">
        <v>10</v>
      </c>
      <c r="F2" s="77" t="s">
        <v>4</v>
      </c>
      <c r="G2" s="78"/>
      <c r="H2" s="75" t="s">
        <v>8</v>
      </c>
      <c r="I2" s="76"/>
      <c r="J2" s="63" t="s">
        <v>5</v>
      </c>
      <c r="K2" s="64"/>
      <c r="L2" s="3" t="s">
        <v>11</v>
      </c>
      <c r="M2" s="4" t="s">
        <v>13</v>
      </c>
      <c r="N2" s="65" t="s">
        <v>12</v>
      </c>
      <c r="O2" s="13"/>
    </row>
    <row r="3" spans="1:15" x14ac:dyDescent="0.25">
      <c r="A3" s="13"/>
      <c r="B3" s="72"/>
      <c r="C3" s="72"/>
      <c r="D3" s="70"/>
      <c r="E3" s="74"/>
      <c r="F3" s="1" t="s">
        <v>3</v>
      </c>
      <c r="G3" s="1" t="s">
        <v>6</v>
      </c>
      <c r="H3" s="1" t="s">
        <v>7</v>
      </c>
      <c r="I3" s="1" t="s">
        <v>9</v>
      </c>
      <c r="J3" s="2" t="s">
        <v>3</v>
      </c>
      <c r="K3" s="2" t="s">
        <v>6</v>
      </c>
      <c r="L3" s="2" t="s">
        <v>9</v>
      </c>
      <c r="M3" s="5"/>
      <c r="N3" s="66"/>
      <c r="O3" s="13"/>
    </row>
    <row r="4" spans="1:15" x14ac:dyDescent="0.25">
      <c r="B4" s="14">
        <v>1</v>
      </c>
      <c r="C4" s="6" t="s">
        <v>23</v>
      </c>
      <c r="D4" s="6" t="s">
        <v>22</v>
      </c>
      <c r="E4" s="7">
        <f ca="1">SUM(F4+E4)</f>
        <v>0</v>
      </c>
      <c r="F4" s="6">
        <v>3345</v>
      </c>
      <c r="G4" s="12">
        <v>42806</v>
      </c>
      <c r="H4" s="6" t="s">
        <v>20</v>
      </c>
      <c r="I4" s="6" t="s">
        <v>21</v>
      </c>
      <c r="J4" s="6"/>
      <c r="K4" s="6"/>
      <c r="L4" s="6"/>
      <c r="M4" s="6"/>
      <c r="N4" s="6"/>
    </row>
    <row r="5" spans="1:15" x14ac:dyDescent="0.25">
      <c r="B5" s="7"/>
      <c r="C5" s="6"/>
      <c r="D5" s="6"/>
      <c r="E5" s="7"/>
      <c r="F5" s="6"/>
      <c r="G5" s="6"/>
      <c r="H5" s="6"/>
      <c r="I5" s="6"/>
      <c r="J5" s="6"/>
      <c r="K5" s="6"/>
      <c r="L5" s="6"/>
      <c r="M5" s="6"/>
      <c r="N5" s="6"/>
    </row>
    <row r="6" spans="1:15" x14ac:dyDescent="0.25">
      <c r="B6" s="7"/>
      <c r="C6" s="6"/>
      <c r="D6" s="6"/>
      <c r="E6" s="7"/>
      <c r="F6" s="6"/>
      <c r="G6" s="6"/>
      <c r="H6" s="6"/>
      <c r="I6" s="6"/>
      <c r="J6" s="6"/>
      <c r="K6" s="6"/>
      <c r="L6" s="6"/>
      <c r="M6" s="6"/>
      <c r="N6" s="6"/>
    </row>
    <row r="7" spans="1:15" x14ac:dyDescent="0.25">
      <c r="B7" s="7"/>
      <c r="C7" s="6"/>
      <c r="D7" s="6"/>
      <c r="E7" s="7"/>
      <c r="F7" s="6"/>
      <c r="G7" s="6"/>
      <c r="H7" s="6"/>
      <c r="I7" s="6"/>
      <c r="J7" s="6"/>
      <c r="K7" s="6"/>
      <c r="L7" s="6"/>
      <c r="M7" s="6"/>
      <c r="N7" s="6"/>
    </row>
    <row r="8" spans="1:15" x14ac:dyDescent="0.25">
      <c r="B8" s="7"/>
      <c r="C8" s="6"/>
      <c r="D8" s="6"/>
      <c r="E8" s="7"/>
      <c r="F8" s="6"/>
      <c r="G8" s="6"/>
      <c r="H8" s="6"/>
      <c r="I8" s="6"/>
      <c r="J8" s="6"/>
      <c r="K8" s="6"/>
      <c r="L8" s="6"/>
      <c r="M8" s="6"/>
      <c r="N8" s="6"/>
    </row>
    <row r="9" spans="1:15" x14ac:dyDescent="0.25">
      <c r="B9" s="7"/>
      <c r="C9" s="6"/>
      <c r="D9" s="6"/>
      <c r="E9" s="7"/>
      <c r="F9" s="6"/>
      <c r="G9" s="6"/>
      <c r="H9" s="6"/>
      <c r="I9" s="6"/>
      <c r="J9" s="6"/>
      <c r="K9" s="6"/>
      <c r="L9" s="6"/>
      <c r="M9" s="6"/>
      <c r="N9" s="6"/>
    </row>
    <row r="10" spans="1:15" x14ac:dyDescent="0.25">
      <c r="B10" s="7"/>
      <c r="C10" s="6"/>
      <c r="D10" s="6"/>
      <c r="E10" s="7"/>
      <c r="F10" s="6"/>
      <c r="G10" s="6"/>
      <c r="H10" s="6"/>
      <c r="I10" s="6"/>
      <c r="J10" s="6"/>
      <c r="K10" s="6"/>
      <c r="L10" s="6"/>
      <c r="M10" s="6"/>
      <c r="N10" s="6"/>
    </row>
    <row r="11" spans="1:15" x14ac:dyDescent="0.25">
      <c r="B11" s="7"/>
      <c r="C11" s="6"/>
      <c r="D11" s="6"/>
      <c r="E11" s="7"/>
      <c r="F11" s="6"/>
      <c r="G11" s="6"/>
      <c r="H11" s="6"/>
      <c r="I11" s="6"/>
      <c r="J11" s="6"/>
      <c r="K11" s="6"/>
      <c r="L11" s="6"/>
      <c r="M11" s="6"/>
      <c r="N11" s="6"/>
    </row>
    <row r="12" spans="1:15" x14ac:dyDescent="0.25">
      <c r="B12" s="7"/>
      <c r="C12" s="6"/>
      <c r="D12" s="6"/>
      <c r="E12" s="7"/>
      <c r="F12" s="6"/>
      <c r="G12" s="6"/>
      <c r="H12" s="6"/>
      <c r="I12" s="6"/>
      <c r="J12" s="6"/>
      <c r="K12" s="6"/>
      <c r="L12" s="6"/>
      <c r="M12" s="6"/>
      <c r="N12" s="6"/>
    </row>
    <row r="13" spans="1:15" x14ac:dyDescent="0.25">
      <c r="B13" s="7"/>
      <c r="C13" s="6"/>
      <c r="D13" s="6"/>
      <c r="E13" s="7"/>
      <c r="F13" s="6"/>
      <c r="G13" s="6"/>
      <c r="H13" s="6"/>
      <c r="I13" s="6"/>
      <c r="J13" s="6"/>
      <c r="K13" s="6"/>
      <c r="L13" s="6"/>
      <c r="M13" s="6"/>
      <c r="N13" s="6"/>
    </row>
    <row r="14" spans="1:15" x14ac:dyDescent="0.25">
      <c r="B14" s="7"/>
      <c r="C14" s="6"/>
      <c r="D14" s="6"/>
      <c r="E14" s="7"/>
      <c r="F14" s="6"/>
      <c r="G14" s="6"/>
      <c r="H14" s="6"/>
      <c r="I14" s="6"/>
      <c r="J14" s="6"/>
      <c r="K14" s="6"/>
      <c r="L14" s="6"/>
      <c r="M14" s="6"/>
      <c r="N14" s="6"/>
    </row>
    <row r="15" spans="1:15" x14ac:dyDescent="0.25">
      <c r="B15" s="7"/>
      <c r="C15" s="6"/>
      <c r="D15" s="6"/>
      <c r="E15" s="7"/>
      <c r="F15" s="6"/>
      <c r="G15" s="6"/>
      <c r="H15" s="6"/>
      <c r="I15" s="6"/>
      <c r="J15" s="6"/>
      <c r="K15" s="6"/>
      <c r="L15" s="6"/>
      <c r="M15" s="6"/>
      <c r="N15" s="6"/>
    </row>
    <row r="16" spans="1:15" x14ac:dyDescent="0.25">
      <c r="B16" s="7"/>
      <c r="C16" s="6"/>
      <c r="D16" s="6"/>
      <c r="E16" s="7"/>
      <c r="F16" s="6"/>
      <c r="G16" s="6"/>
      <c r="H16" s="6"/>
      <c r="I16" s="6"/>
      <c r="J16" s="6"/>
      <c r="K16" s="6"/>
      <c r="L16" s="6"/>
      <c r="M16" s="6"/>
      <c r="N16" s="6"/>
    </row>
    <row r="17" spans="2:14" x14ac:dyDescent="0.25">
      <c r="B17" s="7"/>
      <c r="C17" s="6"/>
      <c r="D17" s="6"/>
      <c r="E17" s="7"/>
      <c r="F17" s="6"/>
      <c r="G17" s="6"/>
      <c r="H17" s="6"/>
      <c r="I17" s="6"/>
      <c r="J17" s="6"/>
      <c r="K17" s="6"/>
      <c r="L17" s="6"/>
      <c r="M17" s="6"/>
      <c r="N17" s="6"/>
    </row>
    <row r="18" spans="2:14" x14ac:dyDescent="0.25">
      <c r="B18" s="7"/>
      <c r="C18" s="6"/>
      <c r="D18" s="6"/>
      <c r="E18" s="7"/>
      <c r="F18" s="6"/>
      <c r="G18" s="6"/>
      <c r="H18" s="6"/>
      <c r="I18" s="6"/>
      <c r="J18" s="6"/>
      <c r="K18" s="6"/>
      <c r="L18" s="6"/>
      <c r="M18" s="6"/>
      <c r="N18" s="6"/>
    </row>
    <row r="19" spans="2:14" x14ac:dyDescent="0.25">
      <c r="B19" s="7"/>
      <c r="C19" s="6"/>
      <c r="D19" s="6"/>
      <c r="E19" s="7"/>
      <c r="F19" s="6"/>
      <c r="G19" s="6"/>
      <c r="H19" s="6"/>
      <c r="I19" s="6"/>
      <c r="J19" s="6"/>
      <c r="K19" s="6"/>
      <c r="L19" s="6"/>
      <c r="M19" s="6"/>
      <c r="N19" s="6"/>
    </row>
    <row r="20" spans="2:14" x14ac:dyDescent="0.25">
      <c r="B20" s="7"/>
      <c r="C20" s="6"/>
      <c r="D20" s="6"/>
      <c r="E20" s="7"/>
      <c r="F20" s="6"/>
      <c r="G20" s="6"/>
      <c r="H20" s="6"/>
      <c r="I20" s="6"/>
      <c r="J20" s="6"/>
      <c r="K20" s="6"/>
      <c r="L20" s="6"/>
      <c r="M20" s="6"/>
      <c r="N20" s="6"/>
    </row>
    <row r="21" spans="2:14" x14ac:dyDescent="0.25">
      <c r="B21" s="7"/>
      <c r="C21" s="6"/>
      <c r="D21" s="6"/>
      <c r="E21" s="7"/>
      <c r="F21" s="6"/>
      <c r="G21" s="6"/>
      <c r="H21" s="6"/>
      <c r="I21" s="6"/>
      <c r="J21" s="6"/>
      <c r="K21" s="6"/>
      <c r="L21" s="6"/>
      <c r="M21" s="6"/>
      <c r="N21" s="6"/>
    </row>
    <row r="22" spans="2:14" x14ac:dyDescent="0.25">
      <c r="B22" s="7"/>
      <c r="C22" s="6"/>
      <c r="D22" s="6"/>
      <c r="E22" s="7"/>
      <c r="F22" s="6"/>
      <c r="G22" s="6"/>
      <c r="H22" s="6"/>
      <c r="I22" s="6"/>
      <c r="J22" s="6"/>
      <c r="K22" s="6"/>
      <c r="L22" s="6"/>
      <c r="M22" s="6"/>
      <c r="N22" s="6"/>
    </row>
    <row r="23" spans="2:14" x14ac:dyDescent="0.25">
      <c r="B23" s="7"/>
      <c r="C23" s="6"/>
      <c r="D23" s="6"/>
      <c r="E23" s="7"/>
      <c r="F23" s="6"/>
      <c r="G23" s="6"/>
      <c r="H23" s="6"/>
      <c r="I23" s="6"/>
      <c r="J23" s="6"/>
      <c r="K23" s="6"/>
      <c r="L23" s="6"/>
      <c r="M23" s="6"/>
      <c r="N23" s="6"/>
    </row>
    <row r="24" spans="2:14" x14ac:dyDescent="0.25">
      <c r="B24" s="7"/>
      <c r="C24" s="6"/>
      <c r="D24" s="6"/>
      <c r="E24" s="7"/>
      <c r="F24" s="6"/>
      <c r="G24" s="6"/>
      <c r="H24" s="6"/>
      <c r="I24" s="6"/>
      <c r="J24" s="6"/>
      <c r="K24" s="6"/>
      <c r="L24" s="6"/>
      <c r="M24" s="6"/>
      <c r="N24" s="6"/>
    </row>
    <row r="25" spans="2:14" x14ac:dyDescent="0.25">
      <c r="B25" s="7"/>
      <c r="C25" s="6"/>
      <c r="D25" s="6"/>
      <c r="E25" s="7"/>
      <c r="F25" s="6"/>
      <c r="G25" s="6"/>
      <c r="H25" s="6"/>
      <c r="I25" s="6"/>
      <c r="J25" s="6"/>
      <c r="K25" s="6"/>
      <c r="L25" s="6"/>
      <c r="M25" s="6"/>
      <c r="N25" s="6"/>
    </row>
    <row r="26" spans="2:14" x14ac:dyDescent="0.25">
      <c r="B26" s="7"/>
      <c r="C26" s="6"/>
      <c r="D26" s="6"/>
      <c r="E26" s="7"/>
      <c r="F26" s="6"/>
      <c r="G26" s="6"/>
      <c r="H26" s="6"/>
      <c r="I26" s="6"/>
      <c r="J26" s="6"/>
      <c r="K26" s="6"/>
      <c r="L26" s="6"/>
      <c r="M26" s="6"/>
      <c r="N26" s="6"/>
    </row>
    <row r="27" spans="2:14" x14ac:dyDescent="0.25">
      <c r="B27" s="7"/>
      <c r="C27" s="6"/>
      <c r="D27" s="6"/>
      <c r="E27" s="7"/>
      <c r="F27" s="6"/>
      <c r="G27" s="6"/>
      <c r="H27" s="6"/>
      <c r="I27" s="6"/>
      <c r="J27" s="6"/>
      <c r="K27" s="6"/>
      <c r="L27" s="6"/>
      <c r="M27" s="6"/>
      <c r="N27" s="6"/>
    </row>
    <row r="28" spans="2:14" x14ac:dyDescent="0.25">
      <c r="B28" s="7"/>
      <c r="C28" s="6"/>
      <c r="D28" s="6"/>
      <c r="E28" s="7"/>
      <c r="F28" s="6"/>
      <c r="G28" s="6"/>
      <c r="H28" s="6"/>
      <c r="I28" s="6"/>
      <c r="J28" s="6"/>
      <c r="K28" s="6"/>
      <c r="L28" s="6"/>
      <c r="M28" s="6"/>
      <c r="N28" s="6"/>
    </row>
    <row r="29" spans="2:14" x14ac:dyDescent="0.25">
      <c r="B29" s="7"/>
      <c r="C29" s="6"/>
      <c r="D29" s="6"/>
      <c r="E29" s="7"/>
      <c r="F29" s="6"/>
      <c r="G29" s="6"/>
      <c r="H29" s="6"/>
      <c r="I29" s="6"/>
      <c r="J29" s="6"/>
      <c r="K29" s="6"/>
      <c r="L29" s="6"/>
      <c r="M29" s="6"/>
      <c r="N29" s="6"/>
    </row>
    <row r="30" spans="2:14" x14ac:dyDescent="0.25">
      <c r="B30" s="7"/>
      <c r="C30" s="6"/>
      <c r="D30" s="6"/>
      <c r="E30" s="7"/>
      <c r="F30" s="6"/>
      <c r="G30" s="6"/>
      <c r="H30" s="6"/>
      <c r="I30" s="6"/>
      <c r="J30" s="6"/>
      <c r="K30" s="6"/>
      <c r="L30" s="6"/>
      <c r="M30" s="6"/>
      <c r="N30" s="6"/>
    </row>
    <row r="31" spans="2:14" x14ac:dyDescent="0.25">
      <c r="B31" s="7"/>
      <c r="C31" s="6"/>
      <c r="D31" s="6"/>
      <c r="E31" s="7"/>
      <c r="F31" s="6"/>
      <c r="G31" s="6"/>
      <c r="H31" s="6"/>
      <c r="I31" s="6"/>
      <c r="J31" s="6"/>
      <c r="K31" s="6"/>
      <c r="L31" s="6"/>
      <c r="M31" s="6"/>
      <c r="N31" s="6"/>
    </row>
    <row r="32" spans="2:14" x14ac:dyDescent="0.25">
      <c r="B32" s="7"/>
      <c r="C32" s="6"/>
      <c r="D32" s="6"/>
      <c r="E32" s="7"/>
      <c r="F32" s="6"/>
      <c r="G32" s="6"/>
      <c r="H32" s="6"/>
      <c r="I32" s="6"/>
      <c r="J32" s="6"/>
      <c r="K32" s="6"/>
      <c r="L32" s="6"/>
      <c r="M32" s="6"/>
      <c r="N32" s="6"/>
    </row>
    <row r="33" spans="2:14" x14ac:dyDescent="0.25">
      <c r="B33" s="7"/>
      <c r="C33" s="6"/>
      <c r="D33" s="6"/>
      <c r="E33" s="7"/>
      <c r="F33" s="6"/>
      <c r="G33" s="6"/>
      <c r="H33" s="6"/>
      <c r="I33" s="6"/>
      <c r="J33" s="6"/>
      <c r="K33" s="6"/>
      <c r="L33" s="6"/>
      <c r="M33" s="6"/>
      <c r="N33" s="6"/>
    </row>
    <row r="34" spans="2:14" x14ac:dyDescent="0.25">
      <c r="B34" s="7"/>
      <c r="C34" s="6"/>
      <c r="D34" s="6"/>
      <c r="E34" s="7"/>
      <c r="F34" s="6"/>
      <c r="G34" s="6"/>
      <c r="H34" s="6"/>
      <c r="I34" s="6"/>
      <c r="J34" s="6"/>
      <c r="K34" s="6"/>
      <c r="L34" s="6"/>
      <c r="M34" s="6"/>
      <c r="N34" s="6"/>
    </row>
    <row r="35" spans="2:14" x14ac:dyDescent="0.25">
      <c r="B35" s="7"/>
      <c r="C35" s="6"/>
      <c r="D35" s="6"/>
      <c r="E35" s="7"/>
      <c r="F35" s="6"/>
      <c r="G35" s="6"/>
      <c r="H35" s="6"/>
      <c r="I35" s="6"/>
      <c r="J35" s="6"/>
      <c r="K35" s="6"/>
      <c r="L35" s="6"/>
      <c r="M35" s="6"/>
      <c r="N35" s="6"/>
    </row>
    <row r="36" spans="2:14" x14ac:dyDescent="0.25">
      <c r="B36" s="7"/>
      <c r="C36" s="6"/>
      <c r="D36" s="6"/>
      <c r="E36" s="7"/>
      <c r="F36" s="6"/>
      <c r="G36" s="6"/>
      <c r="H36" s="6"/>
      <c r="I36" s="6"/>
      <c r="J36" s="6"/>
      <c r="K36" s="6"/>
      <c r="L36" s="6"/>
      <c r="M36" s="6"/>
      <c r="N36" s="6"/>
    </row>
    <row r="37" spans="2:14" x14ac:dyDescent="0.25">
      <c r="B37" s="7"/>
      <c r="C37" s="6"/>
      <c r="D37" s="6"/>
      <c r="E37" s="7"/>
      <c r="F37" s="6"/>
      <c r="G37" s="6"/>
      <c r="H37" s="6"/>
      <c r="I37" s="6"/>
      <c r="J37" s="6"/>
      <c r="K37" s="6"/>
      <c r="L37" s="6"/>
      <c r="M37" s="6"/>
      <c r="N37" s="6"/>
    </row>
    <row r="38" spans="2:14" x14ac:dyDescent="0.25">
      <c r="B38" s="7"/>
      <c r="C38" s="6"/>
      <c r="D38" s="6"/>
      <c r="E38" s="7"/>
      <c r="F38" s="6"/>
      <c r="G38" s="6"/>
      <c r="H38" s="6"/>
      <c r="I38" s="6"/>
      <c r="J38" s="6"/>
      <c r="K38" s="6"/>
      <c r="L38" s="6"/>
      <c r="M38" s="6"/>
      <c r="N38" s="6"/>
    </row>
    <row r="39" spans="2:14" x14ac:dyDescent="0.25">
      <c r="B39" s="7"/>
      <c r="C39" s="6"/>
      <c r="D39" s="6"/>
      <c r="E39" s="7"/>
      <c r="F39" s="6"/>
      <c r="G39" s="6"/>
      <c r="H39" s="6"/>
      <c r="I39" s="6"/>
      <c r="J39" s="6"/>
      <c r="K39" s="6"/>
      <c r="L39" s="6"/>
      <c r="M39" s="6"/>
      <c r="N39" s="6"/>
    </row>
    <row r="40" spans="2:14" x14ac:dyDescent="0.25">
      <c r="B40" s="7"/>
      <c r="C40" s="6"/>
      <c r="D40" s="6"/>
      <c r="E40" s="7"/>
      <c r="F40" s="6"/>
      <c r="G40" s="6"/>
      <c r="H40" s="6"/>
      <c r="I40" s="6"/>
      <c r="J40" s="6"/>
      <c r="K40" s="6"/>
      <c r="L40" s="6"/>
      <c r="M40" s="6"/>
      <c r="N40" s="6"/>
    </row>
    <row r="41" spans="2:14" x14ac:dyDescent="0.25">
      <c r="B41" s="7"/>
      <c r="C41" s="6"/>
      <c r="D41" s="6"/>
      <c r="E41" s="7"/>
      <c r="F41" s="6"/>
      <c r="G41" s="6"/>
      <c r="H41" s="6"/>
      <c r="I41" s="6"/>
      <c r="J41" s="6"/>
      <c r="K41" s="6"/>
      <c r="L41" s="6"/>
      <c r="M41" s="6"/>
      <c r="N41" s="6"/>
    </row>
    <row r="42" spans="2:14" x14ac:dyDescent="0.25">
      <c r="B42" s="7"/>
      <c r="C42" s="6"/>
      <c r="D42" s="6"/>
      <c r="E42" s="7"/>
      <c r="F42" s="6"/>
      <c r="G42" s="6"/>
      <c r="H42" s="6"/>
      <c r="I42" s="6"/>
      <c r="J42" s="6"/>
      <c r="K42" s="6"/>
      <c r="L42" s="6"/>
      <c r="M42" s="6"/>
      <c r="N42" s="6"/>
    </row>
    <row r="43" spans="2:14" x14ac:dyDescent="0.25">
      <c r="B43" s="7"/>
      <c r="C43" s="6"/>
      <c r="D43" s="6"/>
      <c r="E43" s="7"/>
      <c r="F43" s="6"/>
      <c r="G43" s="6"/>
      <c r="H43" s="6"/>
      <c r="I43" s="6"/>
      <c r="J43" s="6"/>
      <c r="K43" s="6"/>
      <c r="L43" s="6"/>
      <c r="M43" s="6"/>
      <c r="N43" s="6"/>
    </row>
    <row r="44" spans="2:14" x14ac:dyDescent="0.25">
      <c r="B44" s="7"/>
      <c r="C44" s="6"/>
      <c r="D44" s="6"/>
      <c r="E44" s="7"/>
      <c r="F44" s="6"/>
      <c r="G44" s="6"/>
      <c r="H44" s="6"/>
      <c r="I44" s="6"/>
      <c r="J44" s="6"/>
      <c r="K44" s="6"/>
      <c r="L44" s="6"/>
      <c r="M44" s="6"/>
      <c r="N44" s="6"/>
    </row>
    <row r="45" spans="2:14" x14ac:dyDescent="0.25">
      <c r="B45" s="7"/>
      <c r="C45" s="6"/>
      <c r="D45" s="6"/>
      <c r="E45" s="7"/>
      <c r="F45" s="6"/>
      <c r="G45" s="6"/>
      <c r="H45" s="6"/>
      <c r="I45" s="6"/>
      <c r="J45" s="6"/>
      <c r="K45" s="6"/>
      <c r="L45" s="6"/>
      <c r="M45" s="6"/>
      <c r="N45" s="6"/>
    </row>
    <row r="46" spans="2:14" x14ac:dyDescent="0.25">
      <c r="B46" s="7"/>
      <c r="C46" s="6"/>
      <c r="D46" s="6"/>
      <c r="E46" s="7"/>
      <c r="F46" s="6"/>
      <c r="G46" s="6"/>
      <c r="H46" s="6"/>
      <c r="I46" s="6"/>
      <c r="J46" s="6"/>
      <c r="K46" s="6"/>
      <c r="L46" s="6"/>
      <c r="M46" s="6"/>
      <c r="N46" s="6"/>
    </row>
    <row r="47" spans="2:14" x14ac:dyDescent="0.25">
      <c r="B47" s="7"/>
      <c r="C47" s="6"/>
      <c r="D47" s="6"/>
      <c r="E47" s="7"/>
      <c r="F47" s="6"/>
      <c r="G47" s="6"/>
      <c r="H47" s="6"/>
      <c r="I47" s="6"/>
      <c r="J47" s="6"/>
      <c r="K47" s="6"/>
      <c r="L47" s="6"/>
      <c r="M47" s="6"/>
      <c r="N47" s="6"/>
    </row>
    <row r="48" spans="2:14" x14ac:dyDescent="0.25">
      <c r="B48" s="7"/>
      <c r="C48" s="6"/>
      <c r="D48" s="6"/>
      <c r="E48" s="7"/>
      <c r="F48" s="6"/>
      <c r="G48" s="6"/>
      <c r="H48" s="6"/>
      <c r="I48" s="6"/>
      <c r="J48" s="6"/>
      <c r="K48" s="6"/>
      <c r="L48" s="6"/>
      <c r="M48" s="6"/>
      <c r="N48" s="6"/>
    </row>
    <row r="49" spans="2:14" x14ac:dyDescent="0.25">
      <c r="B49" s="7"/>
      <c r="C49" s="6"/>
      <c r="D49" s="6"/>
      <c r="E49" s="7"/>
      <c r="F49" s="6"/>
      <c r="G49" s="6"/>
      <c r="H49" s="6"/>
      <c r="I49" s="6"/>
      <c r="J49" s="6"/>
      <c r="K49" s="6"/>
      <c r="L49" s="6"/>
      <c r="M49" s="6"/>
      <c r="N49" s="6"/>
    </row>
    <row r="50" spans="2:14" x14ac:dyDescent="0.25">
      <c r="B50" s="7"/>
      <c r="C50" s="6"/>
      <c r="D50" s="6"/>
      <c r="E50" s="7"/>
      <c r="F50" s="6"/>
      <c r="G50" s="6"/>
      <c r="H50" s="6"/>
      <c r="I50" s="6"/>
      <c r="J50" s="6"/>
      <c r="K50" s="6"/>
      <c r="L50" s="6"/>
      <c r="M50" s="6"/>
      <c r="N50" s="6"/>
    </row>
    <row r="51" spans="2:14" x14ac:dyDescent="0.25">
      <c r="B51" s="7"/>
      <c r="C51" s="6"/>
      <c r="D51" s="6"/>
      <c r="E51" s="7"/>
      <c r="F51" s="6"/>
      <c r="G51" s="6"/>
      <c r="H51" s="6"/>
      <c r="I51" s="6"/>
      <c r="J51" s="6"/>
      <c r="K51" s="6"/>
      <c r="L51" s="6"/>
      <c r="M51" s="6"/>
      <c r="N51" s="6"/>
    </row>
    <row r="52" spans="2:14" x14ac:dyDescent="0.25">
      <c r="B52" s="7"/>
      <c r="C52" s="6"/>
      <c r="D52" s="6"/>
      <c r="E52" s="7"/>
      <c r="F52" s="6"/>
      <c r="G52" s="6"/>
      <c r="H52" s="6"/>
      <c r="I52" s="6"/>
      <c r="J52" s="6"/>
      <c r="K52" s="6"/>
      <c r="L52" s="6"/>
      <c r="M52" s="6"/>
      <c r="N52" s="6"/>
    </row>
    <row r="53" spans="2:14" x14ac:dyDescent="0.25">
      <c r="B53" s="7"/>
      <c r="C53" s="6"/>
      <c r="D53" s="6"/>
      <c r="E53" s="7"/>
      <c r="F53" s="6"/>
      <c r="G53" s="6"/>
      <c r="H53" s="6"/>
      <c r="I53" s="6"/>
      <c r="J53" s="6"/>
      <c r="K53" s="6"/>
      <c r="L53" s="6"/>
      <c r="M53" s="6"/>
      <c r="N53" s="6"/>
    </row>
    <row r="54" spans="2:14" x14ac:dyDescent="0.25">
      <c r="B54" s="7"/>
      <c r="C54" s="6"/>
      <c r="D54" s="6"/>
      <c r="E54" s="7"/>
      <c r="F54" s="6"/>
      <c r="G54" s="6"/>
      <c r="H54" s="6"/>
      <c r="I54" s="6"/>
      <c r="J54" s="6"/>
      <c r="K54" s="6"/>
      <c r="L54" s="6"/>
      <c r="M54" s="6"/>
      <c r="N54" s="6"/>
    </row>
    <row r="55" spans="2:14" x14ac:dyDescent="0.25">
      <c r="B55" s="7"/>
      <c r="C55" s="6"/>
      <c r="D55" s="6"/>
      <c r="E55" s="7"/>
      <c r="F55" s="6"/>
      <c r="G55" s="6"/>
      <c r="H55" s="6"/>
      <c r="I55" s="6"/>
      <c r="J55" s="6"/>
      <c r="K55" s="6"/>
      <c r="L55" s="6"/>
      <c r="M55" s="6"/>
      <c r="N55" s="6"/>
    </row>
    <row r="56" spans="2:14" x14ac:dyDescent="0.25">
      <c r="B56" s="7"/>
      <c r="C56" s="6"/>
      <c r="D56" s="6"/>
      <c r="E56" s="7"/>
      <c r="F56" s="6"/>
      <c r="G56" s="6"/>
      <c r="H56" s="6"/>
      <c r="I56" s="6"/>
      <c r="J56" s="6"/>
      <c r="K56" s="6"/>
      <c r="L56" s="6"/>
      <c r="M56" s="6"/>
      <c r="N56" s="6"/>
    </row>
    <row r="57" spans="2:14" x14ac:dyDescent="0.25">
      <c r="B57" s="7"/>
      <c r="C57" s="6"/>
      <c r="D57" s="6"/>
      <c r="E57" s="7"/>
      <c r="F57" s="6"/>
      <c r="G57" s="6"/>
      <c r="H57" s="6"/>
      <c r="I57" s="6"/>
      <c r="J57" s="6"/>
      <c r="K57" s="6"/>
      <c r="L57" s="6"/>
      <c r="M57" s="6"/>
      <c r="N57" s="6"/>
    </row>
    <row r="58" spans="2:14" x14ac:dyDescent="0.25">
      <c r="B58" s="7"/>
      <c r="C58" s="6"/>
      <c r="D58" s="6"/>
      <c r="E58" s="7"/>
      <c r="F58" s="6"/>
      <c r="G58" s="6"/>
      <c r="H58" s="6"/>
      <c r="I58" s="6"/>
      <c r="J58" s="6"/>
      <c r="K58" s="6"/>
      <c r="L58" s="6"/>
      <c r="M58" s="6"/>
      <c r="N58" s="6"/>
    </row>
    <row r="59" spans="2:14" x14ac:dyDescent="0.25">
      <c r="B59" s="7"/>
      <c r="C59" s="6"/>
      <c r="D59" s="6"/>
      <c r="E59" s="7"/>
      <c r="F59" s="6"/>
      <c r="G59" s="6"/>
      <c r="H59" s="6"/>
      <c r="I59" s="6"/>
      <c r="J59" s="6"/>
      <c r="K59" s="6"/>
      <c r="L59" s="6"/>
      <c r="M59" s="6"/>
      <c r="N59" s="6"/>
    </row>
    <row r="60" spans="2:14" x14ac:dyDescent="0.25">
      <c r="B60" s="7"/>
      <c r="C60" s="6"/>
      <c r="D60" s="6"/>
      <c r="E60" s="7"/>
      <c r="F60" s="6"/>
      <c r="G60" s="6"/>
      <c r="H60" s="6"/>
      <c r="I60" s="6"/>
      <c r="J60" s="6"/>
      <c r="K60" s="6"/>
      <c r="L60" s="6"/>
      <c r="M60" s="6"/>
      <c r="N60" s="6"/>
    </row>
    <row r="61" spans="2:14" x14ac:dyDescent="0.25">
      <c r="B61" s="7"/>
      <c r="C61" s="6"/>
      <c r="D61" s="6"/>
      <c r="E61" s="7"/>
      <c r="F61" s="6"/>
      <c r="G61" s="6"/>
      <c r="H61" s="6"/>
      <c r="I61" s="6"/>
      <c r="J61" s="6"/>
      <c r="K61" s="6"/>
      <c r="L61" s="6"/>
      <c r="M61" s="6"/>
      <c r="N61" s="6"/>
    </row>
    <row r="62" spans="2:14" x14ac:dyDescent="0.25">
      <c r="B62" s="7"/>
      <c r="C62" s="6"/>
      <c r="D62" s="6"/>
      <c r="E62" s="7"/>
      <c r="F62" s="6"/>
      <c r="G62" s="6"/>
      <c r="H62" s="6"/>
      <c r="I62" s="6"/>
      <c r="J62" s="6"/>
      <c r="K62" s="6"/>
      <c r="L62" s="6"/>
      <c r="M62" s="6"/>
      <c r="N62" s="6"/>
    </row>
    <row r="63" spans="2:14" x14ac:dyDescent="0.25">
      <c r="B63" s="7"/>
      <c r="C63" s="6"/>
      <c r="D63" s="6"/>
      <c r="E63" s="7"/>
      <c r="F63" s="6"/>
      <c r="G63" s="6"/>
      <c r="H63" s="6"/>
      <c r="I63" s="6"/>
      <c r="J63" s="6"/>
      <c r="K63" s="6"/>
      <c r="L63" s="6"/>
      <c r="M63" s="6"/>
      <c r="N63" s="6"/>
    </row>
    <row r="64" spans="2:14" x14ac:dyDescent="0.25">
      <c r="B64" s="7"/>
      <c r="C64" s="6"/>
      <c r="D64" s="6"/>
      <c r="E64" s="7"/>
      <c r="F64" s="6"/>
      <c r="G64" s="6"/>
      <c r="H64" s="6"/>
      <c r="I64" s="6"/>
      <c r="J64" s="6"/>
      <c r="K64" s="6"/>
      <c r="L64" s="6"/>
      <c r="M64" s="6"/>
      <c r="N64" s="6"/>
    </row>
    <row r="65" spans="2:14" x14ac:dyDescent="0.25">
      <c r="B65" s="7"/>
      <c r="C65" s="6"/>
      <c r="D65" s="6"/>
      <c r="E65" s="7"/>
      <c r="F65" s="6"/>
      <c r="G65" s="6"/>
      <c r="H65" s="6"/>
      <c r="I65" s="6"/>
      <c r="J65" s="6"/>
      <c r="K65" s="6"/>
      <c r="L65" s="6"/>
      <c r="M65" s="6"/>
      <c r="N65" s="6"/>
    </row>
    <row r="66" spans="2:14" x14ac:dyDescent="0.25">
      <c r="B66" s="7"/>
      <c r="C66" s="6"/>
      <c r="D66" s="6"/>
      <c r="E66" s="7"/>
      <c r="F66" s="6"/>
      <c r="G66" s="6"/>
      <c r="H66" s="6"/>
      <c r="I66" s="6"/>
      <c r="J66" s="6"/>
      <c r="K66" s="6"/>
      <c r="L66" s="6"/>
      <c r="M66" s="6"/>
      <c r="N66" s="6"/>
    </row>
    <row r="67" spans="2:14" x14ac:dyDescent="0.25">
      <c r="B67" s="7"/>
      <c r="C67" s="6"/>
      <c r="D67" s="6"/>
      <c r="E67" s="7"/>
      <c r="F67" s="6"/>
      <c r="G67" s="6"/>
      <c r="H67" s="6"/>
      <c r="I67" s="6"/>
      <c r="J67" s="6"/>
      <c r="K67" s="6"/>
      <c r="L67" s="6"/>
      <c r="M67" s="6"/>
      <c r="N67" s="6"/>
    </row>
    <row r="68" spans="2:14" x14ac:dyDescent="0.25">
      <c r="B68" s="7"/>
      <c r="C68" s="6"/>
      <c r="D68" s="6"/>
      <c r="E68" s="7"/>
      <c r="F68" s="6"/>
      <c r="G68" s="6"/>
      <c r="H68" s="6"/>
      <c r="I68" s="6"/>
      <c r="J68" s="6"/>
      <c r="K68" s="6"/>
      <c r="L68" s="6"/>
      <c r="M68" s="6"/>
      <c r="N68" s="6"/>
    </row>
    <row r="69" spans="2:14" x14ac:dyDescent="0.25">
      <c r="B69" s="7"/>
      <c r="C69" s="6"/>
      <c r="D69" s="6"/>
      <c r="E69" s="7"/>
      <c r="F69" s="6"/>
      <c r="G69" s="6"/>
      <c r="H69" s="6"/>
      <c r="I69" s="6"/>
      <c r="J69" s="6"/>
      <c r="K69" s="6"/>
      <c r="L69" s="6"/>
      <c r="M69" s="6"/>
      <c r="N69" s="6"/>
    </row>
    <row r="70" spans="2:14" x14ac:dyDescent="0.25">
      <c r="B70" s="7"/>
      <c r="C70" s="6"/>
      <c r="D70" s="6"/>
      <c r="E70" s="7"/>
      <c r="F70" s="6"/>
      <c r="G70" s="6"/>
      <c r="H70" s="6"/>
      <c r="I70" s="6"/>
      <c r="J70" s="6"/>
      <c r="K70" s="6"/>
      <c r="L70" s="6"/>
      <c r="M70" s="6"/>
      <c r="N70" s="6"/>
    </row>
    <row r="71" spans="2:14" x14ac:dyDescent="0.25">
      <c r="B71" s="7"/>
      <c r="C71" s="6"/>
      <c r="D71" s="6"/>
      <c r="E71" s="7"/>
      <c r="F71" s="6"/>
      <c r="G71" s="6"/>
      <c r="H71" s="6"/>
      <c r="I71" s="6"/>
      <c r="J71" s="6"/>
      <c r="K71" s="6"/>
      <c r="L71" s="6"/>
      <c r="M71" s="6"/>
      <c r="N71" s="6"/>
    </row>
    <row r="72" spans="2:14" x14ac:dyDescent="0.25">
      <c r="B72" s="7"/>
      <c r="C72" s="6"/>
      <c r="D72" s="6"/>
      <c r="E72" s="7"/>
      <c r="F72" s="6"/>
      <c r="G72" s="6"/>
      <c r="H72" s="6"/>
      <c r="I72" s="6"/>
      <c r="J72" s="6"/>
      <c r="K72" s="6"/>
      <c r="L72" s="6"/>
      <c r="M72" s="6"/>
      <c r="N72" s="6"/>
    </row>
    <row r="73" spans="2:14" x14ac:dyDescent="0.25">
      <c r="B73" s="7"/>
      <c r="C73" s="6"/>
      <c r="D73" s="6"/>
      <c r="E73" s="7"/>
      <c r="F73" s="6"/>
      <c r="G73" s="6"/>
      <c r="H73" s="6"/>
      <c r="I73" s="6"/>
      <c r="J73" s="6"/>
      <c r="K73" s="6"/>
      <c r="L73" s="6"/>
      <c r="M73" s="6"/>
      <c r="N73" s="6"/>
    </row>
    <row r="74" spans="2:14" x14ac:dyDescent="0.25">
      <c r="B74" s="7"/>
      <c r="C74" s="6"/>
      <c r="D74" s="6"/>
      <c r="E74" s="7"/>
      <c r="F74" s="6"/>
      <c r="G74" s="6"/>
      <c r="H74" s="6"/>
      <c r="I74" s="6"/>
      <c r="J74" s="6"/>
      <c r="K74" s="6"/>
      <c r="L74" s="6"/>
      <c r="M74" s="6"/>
      <c r="N74" s="6"/>
    </row>
    <row r="75" spans="2:14" x14ac:dyDescent="0.25">
      <c r="B75" s="7"/>
      <c r="C75" s="6"/>
      <c r="D75" s="6"/>
      <c r="E75" s="7"/>
      <c r="F75" s="6"/>
      <c r="G75" s="6"/>
      <c r="H75" s="6"/>
      <c r="I75" s="6"/>
      <c r="J75" s="6"/>
      <c r="K75" s="6"/>
      <c r="L75" s="6"/>
      <c r="M75" s="6"/>
      <c r="N75" s="6"/>
    </row>
    <row r="76" spans="2:14" x14ac:dyDescent="0.25">
      <c r="B76" s="7"/>
      <c r="C76" s="6"/>
      <c r="D76" s="6"/>
      <c r="E76" s="7"/>
      <c r="F76" s="6"/>
      <c r="G76" s="6"/>
      <c r="H76" s="6"/>
      <c r="I76" s="6"/>
      <c r="J76" s="6"/>
      <c r="K76" s="6"/>
      <c r="L76" s="6"/>
      <c r="M76" s="6"/>
      <c r="N76" s="6"/>
    </row>
    <row r="77" spans="2:14" x14ac:dyDescent="0.25">
      <c r="B77" s="7"/>
      <c r="C77" s="6"/>
      <c r="D77" s="6"/>
      <c r="E77" s="7"/>
      <c r="F77" s="6"/>
      <c r="G77" s="6"/>
      <c r="H77" s="6"/>
      <c r="I77" s="6"/>
      <c r="J77" s="6"/>
      <c r="K77" s="6"/>
      <c r="L77" s="6"/>
      <c r="M77" s="6"/>
      <c r="N77" s="6"/>
    </row>
    <row r="78" spans="2:14" x14ac:dyDescent="0.25">
      <c r="B78" s="7"/>
      <c r="C78" s="6"/>
      <c r="D78" s="6"/>
      <c r="E78" s="7"/>
      <c r="F78" s="6"/>
      <c r="G78" s="6"/>
      <c r="H78" s="6"/>
      <c r="I78" s="6"/>
      <c r="J78" s="6"/>
      <c r="K78" s="6"/>
      <c r="L78" s="6"/>
      <c r="M78" s="6"/>
      <c r="N78" s="6"/>
    </row>
    <row r="79" spans="2:14" x14ac:dyDescent="0.25">
      <c r="B79" s="7"/>
      <c r="C79" s="6"/>
      <c r="D79" s="6"/>
      <c r="E79" s="7"/>
      <c r="F79" s="6"/>
      <c r="G79" s="6"/>
      <c r="H79" s="6"/>
      <c r="I79" s="6"/>
      <c r="J79" s="6"/>
      <c r="K79" s="6"/>
      <c r="L79" s="6"/>
      <c r="M79" s="6"/>
      <c r="N79" s="6"/>
    </row>
    <row r="80" spans="2:14" x14ac:dyDescent="0.25">
      <c r="B80" s="7"/>
      <c r="C80" s="6"/>
      <c r="D80" s="6"/>
      <c r="E80" s="7"/>
      <c r="F80" s="6"/>
      <c r="G80" s="6"/>
      <c r="H80" s="6"/>
      <c r="I80" s="6"/>
      <c r="J80" s="6"/>
      <c r="K80" s="6"/>
      <c r="L80" s="6"/>
      <c r="M80" s="6"/>
      <c r="N80" s="6"/>
    </row>
    <row r="81" spans="2:14" x14ac:dyDescent="0.25">
      <c r="B81" s="7"/>
      <c r="C81" s="6"/>
      <c r="D81" s="6"/>
      <c r="E81" s="7"/>
      <c r="F81" s="6"/>
      <c r="G81" s="6"/>
      <c r="H81" s="6"/>
      <c r="I81" s="6"/>
      <c r="J81" s="6"/>
      <c r="K81" s="6"/>
      <c r="L81" s="6"/>
      <c r="M81" s="6"/>
      <c r="N81" s="6"/>
    </row>
    <row r="82" spans="2:14" x14ac:dyDescent="0.25">
      <c r="B82" s="7"/>
      <c r="C82" s="6"/>
      <c r="D82" s="6"/>
      <c r="E82" s="7"/>
      <c r="F82" s="6"/>
      <c r="G82" s="6"/>
      <c r="H82" s="6"/>
      <c r="I82" s="6"/>
      <c r="J82" s="6"/>
      <c r="K82" s="6"/>
      <c r="L82" s="6"/>
      <c r="M82" s="6"/>
      <c r="N82" s="6"/>
    </row>
    <row r="83" spans="2:14" x14ac:dyDescent="0.25">
      <c r="B83" s="7"/>
      <c r="C83" s="6"/>
      <c r="D83" s="6"/>
      <c r="E83" s="7"/>
      <c r="F83" s="6"/>
      <c r="G83" s="6"/>
      <c r="H83" s="6"/>
      <c r="I83" s="6"/>
      <c r="J83" s="6"/>
      <c r="K83" s="6"/>
      <c r="L83" s="6"/>
      <c r="M83" s="6"/>
      <c r="N83" s="6"/>
    </row>
    <row r="84" spans="2:14" x14ac:dyDescent="0.25">
      <c r="B84" s="7"/>
      <c r="C84" s="6"/>
      <c r="D84" s="6"/>
      <c r="E84" s="7"/>
      <c r="F84" s="6"/>
      <c r="G84" s="6"/>
      <c r="H84" s="6"/>
      <c r="I84" s="6"/>
      <c r="J84" s="6"/>
      <c r="K84" s="6"/>
      <c r="L84" s="6"/>
      <c r="M84" s="6"/>
      <c r="N84" s="6"/>
    </row>
    <row r="85" spans="2:14" x14ac:dyDescent="0.25">
      <c r="B85" s="7"/>
      <c r="C85" s="6"/>
      <c r="D85" s="6"/>
      <c r="E85" s="7"/>
      <c r="F85" s="6"/>
      <c r="G85" s="6"/>
      <c r="H85" s="6"/>
      <c r="I85" s="6"/>
      <c r="J85" s="6"/>
      <c r="K85" s="6"/>
      <c r="L85" s="6"/>
      <c r="M85" s="6"/>
      <c r="N85" s="6"/>
    </row>
    <row r="86" spans="2:14" x14ac:dyDescent="0.25">
      <c r="B86" s="7"/>
      <c r="C86" s="6"/>
      <c r="D86" s="6"/>
      <c r="E86" s="7"/>
      <c r="F86" s="6"/>
      <c r="G86" s="6"/>
      <c r="H86" s="6"/>
      <c r="I86" s="6"/>
      <c r="J86" s="6"/>
      <c r="K86" s="6"/>
      <c r="L86" s="6"/>
      <c r="M86" s="6"/>
      <c r="N86" s="6"/>
    </row>
    <row r="87" spans="2:14" x14ac:dyDescent="0.25">
      <c r="B87" s="7"/>
      <c r="C87" s="6"/>
      <c r="D87" s="6"/>
      <c r="E87" s="7"/>
      <c r="F87" s="6"/>
      <c r="G87" s="6"/>
      <c r="H87" s="6"/>
      <c r="I87" s="6"/>
      <c r="J87" s="6"/>
      <c r="K87" s="6"/>
      <c r="L87" s="6"/>
      <c r="M87" s="6"/>
      <c r="N87" s="6"/>
    </row>
    <row r="88" spans="2:14" x14ac:dyDescent="0.25">
      <c r="B88" s="7"/>
      <c r="C88" s="6"/>
      <c r="D88" s="6"/>
      <c r="E88" s="7"/>
      <c r="F88" s="6"/>
      <c r="G88" s="6"/>
      <c r="H88" s="6"/>
      <c r="I88" s="6"/>
      <c r="J88" s="6"/>
      <c r="K88" s="6"/>
      <c r="L88" s="6"/>
      <c r="M88" s="6"/>
      <c r="N88" s="6"/>
    </row>
    <row r="89" spans="2:14" x14ac:dyDescent="0.25">
      <c r="B89" s="7"/>
      <c r="C89" s="6"/>
      <c r="D89" s="6"/>
      <c r="E89" s="7"/>
      <c r="F89" s="6"/>
      <c r="G89" s="6"/>
      <c r="H89" s="6"/>
      <c r="I89" s="6"/>
      <c r="J89" s="6"/>
      <c r="K89" s="6"/>
      <c r="L89" s="6"/>
      <c r="M89" s="6"/>
      <c r="N89" s="6"/>
    </row>
    <row r="90" spans="2:14" x14ac:dyDescent="0.25">
      <c r="B90" s="7"/>
      <c r="C90" s="6"/>
      <c r="D90" s="6"/>
      <c r="E90" s="7"/>
      <c r="F90" s="6"/>
      <c r="G90" s="6"/>
      <c r="H90" s="6"/>
      <c r="I90" s="6"/>
      <c r="J90" s="6"/>
      <c r="K90" s="6"/>
      <c r="L90" s="6"/>
      <c r="M90" s="6"/>
      <c r="N90" s="6"/>
    </row>
    <row r="91" spans="2:14" x14ac:dyDescent="0.25">
      <c r="B91" s="7"/>
      <c r="C91" s="6"/>
      <c r="D91" s="6"/>
      <c r="E91" s="7"/>
      <c r="F91" s="6"/>
      <c r="G91" s="6"/>
      <c r="H91" s="6"/>
      <c r="I91" s="6"/>
      <c r="J91" s="6"/>
      <c r="K91" s="6"/>
      <c r="L91" s="6"/>
      <c r="M91" s="6"/>
      <c r="N91" s="6"/>
    </row>
    <row r="92" spans="2:14" x14ac:dyDescent="0.25">
      <c r="B92" s="7"/>
      <c r="C92" s="6"/>
      <c r="D92" s="6"/>
      <c r="E92" s="7"/>
      <c r="F92" s="6"/>
      <c r="G92" s="6"/>
      <c r="H92" s="6"/>
      <c r="I92" s="6"/>
      <c r="J92" s="6"/>
      <c r="K92" s="6"/>
      <c r="L92" s="6"/>
      <c r="M92" s="6"/>
      <c r="N92" s="6"/>
    </row>
    <row r="93" spans="2:14" x14ac:dyDescent="0.25">
      <c r="B93" s="7"/>
      <c r="C93" s="6"/>
      <c r="D93" s="6"/>
      <c r="E93" s="7"/>
      <c r="F93" s="6"/>
      <c r="G93" s="6"/>
      <c r="H93" s="6"/>
      <c r="I93" s="6"/>
      <c r="J93" s="6"/>
      <c r="K93" s="6"/>
      <c r="L93" s="6"/>
      <c r="M93" s="6"/>
      <c r="N93" s="6"/>
    </row>
    <row r="94" spans="2:14" x14ac:dyDescent="0.25">
      <c r="B94" s="7"/>
      <c r="C94" s="6"/>
      <c r="D94" s="6"/>
      <c r="E94" s="7"/>
      <c r="F94" s="6"/>
      <c r="G94" s="6"/>
      <c r="H94" s="6"/>
      <c r="I94" s="6"/>
      <c r="J94" s="6"/>
      <c r="K94" s="6"/>
      <c r="L94" s="6"/>
      <c r="M94" s="6"/>
      <c r="N94" s="6"/>
    </row>
    <row r="95" spans="2:14" x14ac:dyDescent="0.25">
      <c r="B95" s="7"/>
      <c r="C95" s="6"/>
      <c r="D95" s="6"/>
      <c r="E95" s="7"/>
      <c r="F95" s="6"/>
      <c r="G95" s="6"/>
      <c r="H95" s="6"/>
      <c r="I95" s="6"/>
      <c r="J95" s="6"/>
      <c r="K95" s="6"/>
      <c r="L95" s="6"/>
      <c r="M95" s="6"/>
      <c r="N95" s="6"/>
    </row>
    <row r="96" spans="2:14" x14ac:dyDescent="0.25">
      <c r="B96" s="7"/>
      <c r="C96" s="6"/>
      <c r="D96" s="6"/>
      <c r="E96" s="7"/>
      <c r="F96" s="6"/>
      <c r="G96" s="6"/>
      <c r="H96" s="6"/>
      <c r="I96" s="6"/>
      <c r="J96" s="6"/>
      <c r="K96" s="6"/>
      <c r="L96" s="6"/>
      <c r="M96" s="6"/>
      <c r="N96" s="6"/>
    </row>
    <row r="97" spans="2:14" x14ac:dyDescent="0.25">
      <c r="B97" s="7"/>
      <c r="C97" s="6"/>
      <c r="D97" s="6"/>
      <c r="E97" s="7"/>
      <c r="F97" s="6"/>
      <c r="G97" s="6"/>
      <c r="H97" s="6"/>
      <c r="I97" s="6"/>
      <c r="J97" s="6"/>
      <c r="K97" s="6"/>
      <c r="L97" s="6"/>
      <c r="M97" s="6"/>
      <c r="N97" s="6"/>
    </row>
    <row r="98" spans="2:14" x14ac:dyDescent="0.25">
      <c r="B98" s="7"/>
      <c r="C98" s="6"/>
      <c r="D98" s="6"/>
      <c r="E98" s="7"/>
      <c r="F98" s="6"/>
      <c r="G98" s="6"/>
      <c r="H98" s="6"/>
      <c r="I98" s="6"/>
      <c r="J98" s="6"/>
      <c r="K98" s="6"/>
      <c r="L98" s="6"/>
      <c r="M98" s="6"/>
      <c r="N98" s="6"/>
    </row>
    <row r="99" spans="2:14" x14ac:dyDescent="0.25">
      <c r="B99" s="7"/>
      <c r="C99" s="6"/>
      <c r="D99" s="6"/>
      <c r="E99" s="7"/>
      <c r="F99" s="6"/>
      <c r="G99" s="6"/>
      <c r="H99" s="6"/>
      <c r="I99" s="6"/>
      <c r="J99" s="6"/>
      <c r="K99" s="6"/>
      <c r="L99" s="6"/>
      <c r="M99" s="6"/>
      <c r="N99" s="6"/>
    </row>
    <row r="100" spans="2:14" x14ac:dyDescent="0.25">
      <c r="B100" s="7"/>
      <c r="C100" s="6"/>
      <c r="D100" s="6"/>
      <c r="E100" s="7"/>
      <c r="F100" s="6"/>
      <c r="G100" s="6"/>
      <c r="H100" s="6"/>
      <c r="I100" s="6"/>
      <c r="J100" s="6"/>
      <c r="K100" s="6"/>
      <c r="L100" s="6"/>
      <c r="M100" s="6"/>
      <c r="N100" s="6"/>
    </row>
    <row r="101" spans="2:14" x14ac:dyDescent="0.25">
      <c r="B101" s="7"/>
      <c r="C101" s="6"/>
      <c r="D101" s="6"/>
      <c r="E101" s="7"/>
      <c r="F101" s="6"/>
      <c r="G101" s="6"/>
      <c r="H101" s="6"/>
      <c r="I101" s="6"/>
      <c r="J101" s="6"/>
      <c r="K101" s="6"/>
      <c r="L101" s="6"/>
      <c r="M101" s="6"/>
      <c r="N101" s="6"/>
    </row>
    <row r="102" spans="2:14" x14ac:dyDescent="0.25">
      <c r="B102" s="7"/>
      <c r="C102" s="6"/>
      <c r="D102" s="6"/>
      <c r="E102" s="7"/>
      <c r="F102" s="6"/>
      <c r="G102" s="6"/>
      <c r="H102" s="6"/>
      <c r="I102" s="6"/>
      <c r="J102" s="6"/>
      <c r="K102" s="6"/>
      <c r="L102" s="6"/>
      <c r="M102" s="6"/>
      <c r="N102" s="6"/>
    </row>
    <row r="103" spans="2:14" x14ac:dyDescent="0.25">
      <c r="B103" s="7"/>
      <c r="C103" s="6"/>
      <c r="D103" s="6"/>
      <c r="E103" s="7"/>
      <c r="F103" s="6"/>
      <c r="G103" s="6"/>
      <c r="H103" s="6"/>
      <c r="I103" s="6"/>
      <c r="J103" s="6"/>
      <c r="K103" s="6"/>
      <c r="L103" s="6"/>
      <c r="M103" s="6"/>
      <c r="N103" s="6"/>
    </row>
    <row r="104" spans="2:14" x14ac:dyDescent="0.25">
      <c r="B104" s="7"/>
      <c r="C104" s="6"/>
      <c r="D104" s="6"/>
      <c r="E104" s="7"/>
      <c r="F104" s="6"/>
      <c r="G104" s="6"/>
      <c r="H104" s="6"/>
      <c r="I104" s="6"/>
      <c r="J104" s="6"/>
      <c r="K104" s="6"/>
      <c r="L104" s="6"/>
      <c r="M104" s="6"/>
      <c r="N104" s="6"/>
    </row>
    <row r="105" spans="2:14" x14ac:dyDescent="0.25">
      <c r="B105" s="7"/>
      <c r="C105" s="6"/>
      <c r="D105" s="6"/>
      <c r="E105" s="7"/>
      <c r="F105" s="6"/>
      <c r="G105" s="6"/>
      <c r="H105" s="6"/>
      <c r="I105" s="6"/>
      <c r="J105" s="6"/>
      <c r="K105" s="6"/>
      <c r="L105" s="6"/>
      <c r="M105" s="6"/>
      <c r="N105" s="6"/>
    </row>
    <row r="106" spans="2:14" x14ac:dyDescent="0.25">
      <c r="B106" s="7"/>
      <c r="C106" s="6"/>
      <c r="D106" s="6"/>
      <c r="E106" s="7"/>
      <c r="F106" s="6"/>
      <c r="G106" s="6"/>
      <c r="H106" s="6"/>
      <c r="I106" s="6"/>
      <c r="J106" s="6"/>
      <c r="K106" s="6"/>
      <c r="L106" s="6"/>
      <c r="M106" s="6"/>
      <c r="N106" s="6"/>
    </row>
    <row r="107" spans="2:14" x14ac:dyDescent="0.25">
      <c r="B107" s="7"/>
      <c r="C107" s="6"/>
      <c r="D107" s="6"/>
      <c r="E107" s="7"/>
      <c r="F107" s="6"/>
      <c r="G107" s="6"/>
      <c r="H107" s="6"/>
      <c r="I107" s="6"/>
      <c r="J107" s="6"/>
      <c r="K107" s="6"/>
      <c r="L107" s="6"/>
      <c r="M107" s="6"/>
      <c r="N107" s="6"/>
    </row>
    <row r="108" spans="2:14" x14ac:dyDescent="0.25">
      <c r="B108" s="7"/>
      <c r="C108" s="6"/>
      <c r="D108" s="6"/>
      <c r="E108" s="7"/>
      <c r="F108" s="6"/>
      <c r="G108" s="6"/>
      <c r="H108" s="6"/>
      <c r="I108" s="6"/>
      <c r="J108" s="6"/>
      <c r="K108" s="6"/>
      <c r="L108" s="6"/>
      <c r="M108" s="6"/>
      <c r="N108" s="6"/>
    </row>
    <row r="109" spans="2:14" x14ac:dyDescent="0.25">
      <c r="B109" s="7"/>
      <c r="C109" s="6"/>
      <c r="D109" s="6"/>
      <c r="E109" s="7"/>
      <c r="F109" s="6"/>
      <c r="G109" s="6"/>
      <c r="H109" s="6"/>
      <c r="I109" s="6"/>
      <c r="J109" s="6"/>
      <c r="K109" s="6"/>
      <c r="L109" s="6"/>
      <c r="M109" s="6"/>
      <c r="N109" s="6"/>
    </row>
    <row r="110" spans="2:14" x14ac:dyDescent="0.25">
      <c r="B110" s="7"/>
      <c r="C110" s="6"/>
      <c r="D110" s="6"/>
      <c r="E110" s="7"/>
      <c r="F110" s="6"/>
      <c r="G110" s="6"/>
      <c r="H110" s="6"/>
      <c r="I110" s="6"/>
      <c r="J110" s="6"/>
      <c r="K110" s="6"/>
      <c r="L110" s="6"/>
      <c r="M110" s="6"/>
      <c r="N110" s="6"/>
    </row>
    <row r="111" spans="2:14" x14ac:dyDescent="0.25">
      <c r="B111" s="7"/>
      <c r="C111" s="6"/>
      <c r="D111" s="6"/>
      <c r="E111" s="7"/>
      <c r="F111" s="6"/>
      <c r="G111" s="6"/>
      <c r="H111" s="6"/>
      <c r="I111" s="6"/>
      <c r="J111" s="6"/>
      <c r="K111" s="6"/>
      <c r="L111" s="6"/>
      <c r="M111" s="6"/>
      <c r="N111" s="6"/>
    </row>
    <row r="112" spans="2:14" x14ac:dyDescent="0.25">
      <c r="B112" s="7"/>
      <c r="C112" s="6"/>
      <c r="D112" s="6"/>
      <c r="E112" s="7"/>
      <c r="F112" s="6"/>
      <c r="G112" s="6"/>
      <c r="H112" s="6"/>
      <c r="I112" s="6"/>
      <c r="J112" s="6"/>
      <c r="K112" s="6"/>
      <c r="L112" s="6"/>
      <c r="M112" s="6"/>
      <c r="N112" s="6"/>
    </row>
    <row r="113" spans="2:14" x14ac:dyDescent="0.25">
      <c r="B113" s="7"/>
      <c r="C113" s="6"/>
      <c r="D113" s="6"/>
      <c r="E113" s="7"/>
      <c r="F113" s="6"/>
      <c r="G113" s="6"/>
      <c r="H113" s="6"/>
      <c r="I113" s="6"/>
      <c r="J113" s="6"/>
      <c r="K113" s="6"/>
      <c r="L113" s="6"/>
      <c r="M113" s="6"/>
      <c r="N113" s="6"/>
    </row>
    <row r="114" spans="2:14" x14ac:dyDescent="0.25">
      <c r="B114" s="7"/>
      <c r="C114" s="6"/>
      <c r="D114" s="6"/>
      <c r="E114" s="7"/>
      <c r="F114" s="6"/>
      <c r="G114" s="6"/>
      <c r="H114" s="6"/>
      <c r="I114" s="6"/>
      <c r="J114" s="6"/>
      <c r="K114" s="6"/>
      <c r="L114" s="6"/>
      <c r="M114" s="6"/>
      <c r="N114" s="6"/>
    </row>
    <row r="115" spans="2:14" x14ac:dyDescent="0.25">
      <c r="B115" s="7"/>
      <c r="C115" s="6"/>
      <c r="D115" s="6"/>
      <c r="E115" s="7"/>
      <c r="F115" s="6"/>
      <c r="G115" s="6"/>
      <c r="H115" s="6"/>
      <c r="I115" s="6"/>
      <c r="J115" s="6"/>
      <c r="K115" s="6"/>
      <c r="L115" s="6"/>
      <c r="M115" s="6"/>
      <c r="N115" s="6"/>
    </row>
    <row r="116" spans="2:14" x14ac:dyDescent="0.25">
      <c r="B116" s="7"/>
      <c r="C116" s="6"/>
      <c r="D116" s="6"/>
      <c r="E116" s="7"/>
      <c r="F116" s="6"/>
      <c r="G116" s="6"/>
      <c r="H116" s="6"/>
      <c r="I116" s="6"/>
      <c r="J116" s="6"/>
      <c r="K116" s="6"/>
      <c r="L116" s="6"/>
      <c r="M116" s="6"/>
      <c r="N116" s="6"/>
    </row>
    <row r="117" spans="2:14" x14ac:dyDescent="0.25">
      <c r="B117" s="7"/>
      <c r="C117" s="6"/>
      <c r="D117" s="6"/>
      <c r="E117" s="7"/>
      <c r="F117" s="6"/>
      <c r="G117" s="6"/>
      <c r="H117" s="6"/>
      <c r="I117" s="6"/>
      <c r="J117" s="6"/>
      <c r="K117" s="6"/>
      <c r="L117" s="6"/>
      <c r="M117" s="6"/>
      <c r="N117" s="6"/>
    </row>
    <row r="118" spans="2:14" x14ac:dyDescent="0.25">
      <c r="B118" s="7"/>
      <c r="C118" s="6"/>
      <c r="D118" s="6"/>
      <c r="E118" s="7"/>
      <c r="F118" s="6"/>
      <c r="G118" s="6"/>
      <c r="H118" s="6"/>
      <c r="I118" s="6"/>
      <c r="J118" s="6"/>
      <c r="K118" s="6"/>
      <c r="L118" s="6"/>
      <c r="M118" s="6"/>
      <c r="N118" s="6"/>
    </row>
    <row r="119" spans="2:14" x14ac:dyDescent="0.25">
      <c r="B119" s="7"/>
      <c r="C119" s="6"/>
      <c r="D119" s="6"/>
      <c r="E119" s="7"/>
      <c r="F119" s="6"/>
      <c r="G119" s="6"/>
      <c r="H119" s="6"/>
      <c r="I119" s="6"/>
      <c r="J119" s="6"/>
      <c r="K119" s="6"/>
      <c r="L119" s="6"/>
      <c r="M119" s="6"/>
      <c r="N119" s="6"/>
    </row>
    <row r="120" spans="2:14" x14ac:dyDescent="0.25">
      <c r="B120" s="7"/>
      <c r="C120" s="6"/>
      <c r="D120" s="6"/>
      <c r="E120" s="7"/>
      <c r="F120" s="6"/>
      <c r="G120" s="6"/>
      <c r="H120" s="6"/>
      <c r="I120" s="6"/>
      <c r="J120" s="6"/>
      <c r="K120" s="6"/>
      <c r="L120" s="6"/>
      <c r="M120" s="6"/>
      <c r="N120" s="6"/>
    </row>
    <row r="121" spans="2:14" x14ac:dyDescent="0.25">
      <c r="B121" s="7"/>
      <c r="C121" s="6"/>
      <c r="D121" s="6"/>
      <c r="E121" s="7"/>
      <c r="F121" s="6"/>
      <c r="G121" s="6"/>
      <c r="H121" s="6"/>
      <c r="I121" s="6"/>
      <c r="J121" s="6"/>
      <c r="K121" s="6"/>
      <c r="L121" s="6"/>
      <c r="M121" s="6"/>
      <c r="N121" s="6"/>
    </row>
    <row r="122" spans="2:14" x14ac:dyDescent="0.25">
      <c r="B122" s="7"/>
      <c r="C122" s="6"/>
      <c r="D122" s="6"/>
      <c r="E122" s="7"/>
      <c r="F122" s="6"/>
      <c r="G122" s="6"/>
      <c r="H122" s="6"/>
      <c r="I122" s="6"/>
      <c r="J122" s="6"/>
      <c r="K122" s="6"/>
      <c r="L122" s="6"/>
      <c r="M122" s="6"/>
      <c r="N122" s="6"/>
    </row>
    <row r="123" spans="2:14" x14ac:dyDescent="0.25">
      <c r="B123" s="7"/>
      <c r="C123" s="6"/>
      <c r="D123" s="6"/>
      <c r="E123" s="7"/>
      <c r="F123" s="6"/>
      <c r="G123" s="6"/>
      <c r="H123" s="6"/>
      <c r="I123" s="6"/>
      <c r="J123" s="6"/>
      <c r="K123" s="6"/>
      <c r="L123" s="6"/>
      <c r="M123" s="6"/>
      <c r="N123" s="6"/>
    </row>
    <row r="124" spans="2:14" x14ac:dyDescent="0.25">
      <c r="B124" s="7"/>
      <c r="C124" s="6"/>
      <c r="D124" s="6"/>
      <c r="E124" s="7"/>
      <c r="F124" s="6"/>
      <c r="G124" s="6"/>
      <c r="H124" s="6"/>
      <c r="I124" s="6"/>
      <c r="J124" s="6"/>
      <c r="K124" s="6"/>
      <c r="L124" s="6"/>
      <c r="M124" s="6"/>
      <c r="N124" s="6"/>
    </row>
    <row r="125" spans="2:14" x14ac:dyDescent="0.25">
      <c r="B125" s="7"/>
      <c r="C125" s="6"/>
      <c r="D125" s="6"/>
      <c r="E125" s="7"/>
      <c r="F125" s="6"/>
      <c r="G125" s="6"/>
      <c r="H125" s="6"/>
      <c r="I125" s="6"/>
      <c r="J125" s="6"/>
      <c r="K125" s="6"/>
      <c r="L125" s="6"/>
      <c r="M125" s="6"/>
      <c r="N125" s="6"/>
    </row>
    <row r="126" spans="2:14" x14ac:dyDescent="0.25">
      <c r="B126" s="7"/>
      <c r="C126" s="6"/>
      <c r="D126" s="6"/>
      <c r="E126" s="7"/>
      <c r="F126" s="6"/>
      <c r="G126" s="6"/>
      <c r="H126" s="6"/>
      <c r="I126" s="6"/>
      <c r="J126" s="6"/>
      <c r="K126" s="6"/>
      <c r="L126" s="6"/>
      <c r="M126" s="6"/>
      <c r="N126" s="6"/>
    </row>
    <row r="127" spans="2:14" x14ac:dyDescent="0.25">
      <c r="B127" s="7"/>
      <c r="C127" s="6"/>
      <c r="D127" s="6"/>
      <c r="E127" s="7"/>
      <c r="F127" s="6"/>
      <c r="G127" s="6"/>
      <c r="H127" s="6"/>
      <c r="I127" s="6"/>
      <c r="J127" s="6"/>
      <c r="K127" s="6"/>
      <c r="L127" s="6"/>
      <c r="M127" s="6"/>
      <c r="N127" s="6"/>
    </row>
    <row r="128" spans="2:14" x14ac:dyDescent="0.25">
      <c r="B128" s="7"/>
      <c r="C128" s="6"/>
      <c r="D128" s="6"/>
      <c r="E128" s="7"/>
      <c r="F128" s="6"/>
      <c r="G128" s="6"/>
      <c r="H128" s="6"/>
      <c r="I128" s="6"/>
      <c r="J128" s="6"/>
      <c r="K128" s="6"/>
      <c r="L128" s="6"/>
      <c r="M128" s="6"/>
      <c r="N128" s="6"/>
    </row>
    <row r="129" spans="2:14" x14ac:dyDescent="0.25">
      <c r="B129" s="7"/>
      <c r="C129" s="6"/>
      <c r="D129" s="6"/>
      <c r="E129" s="7"/>
      <c r="F129" s="6"/>
      <c r="G129" s="6"/>
      <c r="H129" s="6"/>
      <c r="I129" s="6"/>
      <c r="J129" s="6"/>
      <c r="K129" s="6"/>
      <c r="L129" s="6"/>
      <c r="M129" s="6"/>
      <c r="N129" s="6"/>
    </row>
    <row r="130" spans="2:14" x14ac:dyDescent="0.25">
      <c r="B130" s="7"/>
      <c r="C130" s="6"/>
      <c r="D130" s="6"/>
      <c r="E130" s="7"/>
      <c r="F130" s="6"/>
      <c r="G130" s="6"/>
      <c r="H130" s="6"/>
      <c r="I130" s="6"/>
      <c r="J130" s="6"/>
      <c r="K130" s="6"/>
      <c r="L130" s="6"/>
      <c r="M130" s="6"/>
      <c r="N130" s="6"/>
    </row>
    <row r="131" spans="2:14" x14ac:dyDescent="0.25">
      <c r="B131" s="7"/>
      <c r="C131" s="6"/>
      <c r="D131" s="6"/>
      <c r="E131" s="7"/>
      <c r="F131" s="6"/>
      <c r="G131" s="6"/>
      <c r="H131" s="6"/>
      <c r="I131" s="6"/>
      <c r="J131" s="6"/>
      <c r="K131" s="6"/>
      <c r="L131" s="6"/>
      <c r="M131" s="6"/>
      <c r="N131" s="6"/>
    </row>
    <row r="132" spans="2:14" x14ac:dyDescent="0.25">
      <c r="B132" s="7"/>
      <c r="C132" s="6"/>
      <c r="D132" s="6"/>
      <c r="E132" s="7"/>
      <c r="F132" s="6"/>
      <c r="G132" s="6"/>
      <c r="H132" s="6"/>
      <c r="I132" s="6"/>
      <c r="J132" s="6"/>
      <c r="K132" s="6"/>
      <c r="L132" s="6"/>
      <c r="M132" s="6"/>
      <c r="N132" s="6"/>
    </row>
    <row r="133" spans="2:14" x14ac:dyDescent="0.25">
      <c r="B133" s="7"/>
      <c r="C133" s="6"/>
      <c r="D133" s="6"/>
      <c r="E133" s="7"/>
      <c r="F133" s="6"/>
      <c r="G133" s="6"/>
      <c r="H133" s="6"/>
      <c r="I133" s="6"/>
      <c r="J133" s="6"/>
      <c r="K133" s="6"/>
      <c r="L133" s="6"/>
      <c r="M133" s="6"/>
      <c r="N133" s="6"/>
    </row>
    <row r="134" spans="2:14" x14ac:dyDescent="0.25">
      <c r="B134" s="7"/>
      <c r="C134" s="6"/>
      <c r="D134" s="6"/>
      <c r="E134" s="7"/>
      <c r="F134" s="6"/>
      <c r="G134" s="6"/>
      <c r="H134" s="6"/>
      <c r="I134" s="6"/>
      <c r="J134" s="6"/>
      <c r="K134" s="6"/>
      <c r="L134" s="6"/>
      <c r="M134" s="6"/>
      <c r="N134" s="6"/>
    </row>
    <row r="135" spans="2:14" x14ac:dyDescent="0.25">
      <c r="B135" s="7"/>
      <c r="C135" s="6"/>
      <c r="D135" s="6"/>
      <c r="E135" s="7"/>
      <c r="F135" s="6"/>
      <c r="G135" s="6"/>
      <c r="H135" s="6"/>
      <c r="I135" s="6"/>
      <c r="J135" s="6"/>
      <c r="K135" s="6"/>
      <c r="L135" s="6"/>
      <c r="M135" s="6"/>
      <c r="N135" s="6"/>
    </row>
    <row r="136" spans="2:14" x14ac:dyDescent="0.25">
      <c r="B136" s="7"/>
      <c r="C136" s="6"/>
      <c r="D136" s="6"/>
      <c r="E136" s="7"/>
      <c r="F136" s="6"/>
      <c r="G136" s="6"/>
      <c r="H136" s="6"/>
      <c r="I136" s="6"/>
      <c r="J136" s="6"/>
      <c r="K136" s="6"/>
      <c r="L136" s="6"/>
      <c r="M136" s="6"/>
      <c r="N136" s="6"/>
    </row>
    <row r="137" spans="2:14" x14ac:dyDescent="0.25">
      <c r="B137" s="7"/>
      <c r="C137" s="6"/>
      <c r="D137" s="6"/>
      <c r="E137" s="7"/>
      <c r="F137" s="6"/>
      <c r="G137" s="6"/>
      <c r="H137" s="6"/>
      <c r="I137" s="6"/>
      <c r="J137" s="6"/>
      <c r="K137" s="6"/>
      <c r="L137" s="6"/>
      <c r="M137" s="6"/>
      <c r="N137" s="6"/>
    </row>
    <row r="138" spans="2:14" x14ac:dyDescent="0.25">
      <c r="B138" s="7"/>
      <c r="C138" s="6"/>
      <c r="D138" s="6"/>
      <c r="E138" s="7"/>
      <c r="F138" s="6"/>
      <c r="G138" s="6"/>
      <c r="H138" s="6"/>
      <c r="I138" s="6"/>
      <c r="J138" s="6"/>
      <c r="K138" s="6"/>
      <c r="L138" s="6"/>
      <c r="M138" s="6"/>
      <c r="N138" s="6"/>
    </row>
    <row r="139" spans="2:14" x14ac:dyDescent="0.25">
      <c r="B139" s="7"/>
      <c r="C139" s="6"/>
      <c r="D139" s="6"/>
      <c r="E139" s="7"/>
      <c r="F139" s="6"/>
      <c r="G139" s="6"/>
      <c r="H139" s="6"/>
      <c r="I139" s="6"/>
      <c r="J139" s="6"/>
      <c r="K139" s="6"/>
      <c r="L139" s="6"/>
      <c r="M139" s="6"/>
      <c r="N139" s="6"/>
    </row>
    <row r="140" spans="2:14" x14ac:dyDescent="0.25">
      <c r="B140" s="7"/>
      <c r="C140" s="6"/>
      <c r="D140" s="6"/>
      <c r="E140" s="7"/>
      <c r="F140" s="6"/>
      <c r="G140" s="6"/>
      <c r="H140" s="6"/>
      <c r="I140" s="6"/>
      <c r="J140" s="6"/>
      <c r="K140" s="6"/>
      <c r="L140" s="6"/>
      <c r="M140" s="6"/>
      <c r="N140" s="6"/>
    </row>
    <row r="141" spans="2:14" x14ac:dyDescent="0.25">
      <c r="B141" s="7"/>
      <c r="C141" s="6"/>
      <c r="D141" s="6"/>
      <c r="E141" s="7"/>
      <c r="F141" s="6"/>
      <c r="G141" s="6"/>
      <c r="H141" s="6"/>
      <c r="I141" s="6"/>
      <c r="J141" s="6"/>
      <c r="K141" s="6"/>
      <c r="L141" s="6"/>
      <c r="M141" s="6"/>
      <c r="N141" s="6"/>
    </row>
    <row r="142" spans="2:14" x14ac:dyDescent="0.25">
      <c r="B142" s="7"/>
      <c r="C142" s="6"/>
      <c r="D142" s="6"/>
      <c r="E142" s="7"/>
      <c r="F142" s="6"/>
      <c r="G142" s="6"/>
      <c r="H142" s="6"/>
      <c r="I142" s="6"/>
      <c r="J142" s="6"/>
      <c r="K142" s="6"/>
      <c r="L142" s="6"/>
      <c r="M142" s="6"/>
      <c r="N142" s="6"/>
    </row>
    <row r="143" spans="2:14" x14ac:dyDescent="0.25">
      <c r="B143" s="7"/>
      <c r="C143" s="6"/>
      <c r="D143" s="6"/>
      <c r="E143" s="7"/>
      <c r="F143" s="6"/>
      <c r="G143" s="6"/>
      <c r="H143" s="6"/>
      <c r="I143" s="6"/>
      <c r="J143" s="6"/>
      <c r="K143" s="6"/>
      <c r="L143" s="6"/>
      <c r="M143" s="6"/>
      <c r="N143" s="6"/>
    </row>
    <row r="144" spans="2:14" x14ac:dyDescent="0.25">
      <c r="B144" s="7"/>
      <c r="C144" s="6"/>
      <c r="D144" s="6"/>
      <c r="E144" s="7"/>
      <c r="F144" s="6"/>
      <c r="G144" s="6"/>
      <c r="H144" s="6"/>
      <c r="I144" s="6"/>
      <c r="J144" s="6"/>
      <c r="K144" s="6"/>
      <c r="L144" s="6"/>
      <c r="M144" s="6"/>
      <c r="N144" s="6"/>
    </row>
    <row r="145" spans="2:14" x14ac:dyDescent="0.25">
      <c r="B145" s="7"/>
      <c r="C145" s="6"/>
      <c r="D145" s="6"/>
      <c r="E145" s="7"/>
      <c r="F145" s="6"/>
      <c r="G145" s="6"/>
      <c r="H145" s="6"/>
      <c r="I145" s="6"/>
      <c r="J145" s="6"/>
      <c r="K145" s="6"/>
      <c r="L145" s="6"/>
      <c r="M145" s="6"/>
      <c r="N145" s="6"/>
    </row>
    <row r="146" spans="2:14" x14ac:dyDescent="0.25">
      <c r="B146" s="7"/>
      <c r="C146" s="6"/>
      <c r="D146" s="6"/>
      <c r="E146" s="7"/>
      <c r="F146" s="6"/>
      <c r="G146" s="6"/>
      <c r="H146" s="6"/>
      <c r="I146" s="6"/>
      <c r="J146" s="6"/>
      <c r="K146" s="6"/>
      <c r="L146" s="6"/>
      <c r="M146" s="6"/>
      <c r="N146" s="6"/>
    </row>
    <row r="147" spans="2:14" x14ac:dyDescent="0.25">
      <c r="B147" s="7"/>
      <c r="C147" s="6"/>
      <c r="D147" s="6"/>
      <c r="E147" s="7"/>
      <c r="F147" s="6"/>
      <c r="G147" s="6"/>
      <c r="H147" s="6"/>
      <c r="I147" s="6"/>
      <c r="J147" s="6"/>
      <c r="K147" s="6"/>
      <c r="L147" s="6"/>
      <c r="M147" s="6"/>
      <c r="N147" s="6"/>
    </row>
    <row r="148" spans="2:14" x14ac:dyDescent="0.25">
      <c r="B148" s="7"/>
      <c r="C148" s="6"/>
      <c r="D148" s="6"/>
      <c r="E148" s="7"/>
      <c r="F148" s="6"/>
      <c r="G148" s="6"/>
      <c r="H148" s="6"/>
      <c r="I148" s="6"/>
      <c r="J148" s="6"/>
      <c r="K148" s="6"/>
      <c r="L148" s="6"/>
      <c r="M148" s="6"/>
      <c r="N148" s="6"/>
    </row>
    <row r="149" spans="2:14" x14ac:dyDescent="0.25">
      <c r="B149" s="7"/>
      <c r="C149" s="6"/>
      <c r="D149" s="6"/>
      <c r="E149" s="7"/>
      <c r="F149" s="6"/>
      <c r="G149" s="6"/>
      <c r="H149" s="6"/>
      <c r="I149" s="6"/>
      <c r="J149" s="6"/>
      <c r="K149" s="6"/>
      <c r="L149" s="6"/>
      <c r="M149" s="6"/>
      <c r="N149" s="6"/>
    </row>
    <row r="150" spans="2:14" x14ac:dyDescent="0.25">
      <c r="B150" s="7"/>
      <c r="C150" s="6"/>
      <c r="D150" s="6"/>
      <c r="E150" s="7"/>
      <c r="F150" s="6"/>
      <c r="G150" s="6"/>
      <c r="H150" s="6"/>
      <c r="I150" s="6"/>
      <c r="J150" s="6"/>
      <c r="K150" s="6"/>
      <c r="L150" s="6"/>
      <c r="M150" s="6"/>
      <c r="N150" s="6"/>
    </row>
    <row r="151" spans="2:14" x14ac:dyDescent="0.25">
      <c r="B151" s="7"/>
      <c r="C151" s="6"/>
      <c r="D151" s="6"/>
      <c r="E151" s="7"/>
      <c r="F151" s="6"/>
      <c r="G151" s="6"/>
      <c r="H151" s="6"/>
      <c r="I151" s="6"/>
      <c r="J151" s="6"/>
      <c r="K151" s="6"/>
      <c r="L151" s="6"/>
      <c r="M151" s="6"/>
      <c r="N151" s="6"/>
    </row>
    <row r="152" spans="2:14" x14ac:dyDescent="0.25">
      <c r="B152" s="7"/>
      <c r="C152" s="6"/>
      <c r="D152" s="6"/>
      <c r="E152" s="7"/>
      <c r="F152" s="6"/>
      <c r="G152" s="6"/>
      <c r="H152" s="6"/>
      <c r="I152" s="6"/>
      <c r="J152" s="6"/>
      <c r="K152" s="6"/>
      <c r="L152" s="6"/>
      <c r="M152" s="6"/>
      <c r="N152" s="6"/>
    </row>
    <row r="153" spans="2:14" x14ac:dyDescent="0.25">
      <c r="B153" s="7"/>
      <c r="C153" s="6"/>
      <c r="D153" s="6"/>
      <c r="E153" s="7"/>
      <c r="F153" s="6"/>
      <c r="G153" s="6"/>
      <c r="H153" s="6"/>
      <c r="I153" s="6"/>
      <c r="J153" s="6"/>
      <c r="K153" s="6"/>
      <c r="L153" s="6"/>
      <c r="M153" s="6"/>
      <c r="N153" s="6"/>
    </row>
    <row r="154" spans="2:14" x14ac:dyDescent="0.25">
      <c r="B154" s="7"/>
      <c r="C154" s="6"/>
      <c r="D154" s="6"/>
      <c r="E154" s="7"/>
      <c r="F154" s="6"/>
      <c r="G154" s="6"/>
      <c r="H154" s="6"/>
      <c r="I154" s="6"/>
      <c r="J154" s="6"/>
      <c r="K154" s="6"/>
      <c r="L154" s="6"/>
      <c r="M154" s="6"/>
      <c r="N154" s="6"/>
    </row>
    <row r="155" spans="2:14" x14ac:dyDescent="0.25">
      <c r="B155" s="7"/>
      <c r="C155" s="6"/>
      <c r="D155" s="6"/>
      <c r="E155" s="7"/>
      <c r="F155" s="6"/>
      <c r="G155" s="6"/>
      <c r="H155" s="6"/>
      <c r="I155" s="6"/>
      <c r="J155" s="6"/>
      <c r="K155" s="6"/>
      <c r="L155" s="6"/>
      <c r="M155" s="6"/>
      <c r="N155" s="6"/>
    </row>
    <row r="156" spans="2:14" x14ac:dyDescent="0.25">
      <c r="B156" s="7"/>
      <c r="C156" s="6"/>
      <c r="D156" s="6"/>
      <c r="E156" s="7"/>
      <c r="F156" s="6"/>
      <c r="G156" s="6"/>
      <c r="H156" s="6"/>
      <c r="I156" s="6"/>
      <c r="J156" s="6"/>
      <c r="K156" s="6"/>
      <c r="L156" s="6"/>
      <c r="M156" s="6"/>
      <c r="N156" s="6"/>
    </row>
    <row r="157" spans="2:14" x14ac:dyDescent="0.25">
      <c r="B157" s="7"/>
      <c r="C157" s="6"/>
      <c r="D157" s="6"/>
      <c r="E157" s="7"/>
      <c r="F157" s="6"/>
      <c r="G157" s="6"/>
      <c r="H157" s="6"/>
      <c r="I157" s="6"/>
      <c r="J157" s="6"/>
      <c r="K157" s="6"/>
      <c r="L157" s="6"/>
      <c r="M157" s="6"/>
      <c r="N157" s="6"/>
    </row>
    <row r="158" spans="2:14" x14ac:dyDescent="0.25">
      <c r="B158" s="7"/>
      <c r="C158" s="6"/>
      <c r="D158" s="6"/>
      <c r="E158" s="7"/>
      <c r="F158" s="6"/>
      <c r="G158" s="6"/>
      <c r="H158" s="6"/>
      <c r="I158" s="6"/>
      <c r="J158" s="6"/>
      <c r="K158" s="6"/>
      <c r="L158" s="6"/>
      <c r="M158" s="6"/>
      <c r="N158" s="6"/>
    </row>
    <row r="159" spans="2:14" x14ac:dyDescent="0.25">
      <c r="B159" s="7"/>
      <c r="C159" s="6"/>
      <c r="D159" s="6"/>
      <c r="E159" s="7"/>
      <c r="F159" s="6"/>
      <c r="G159" s="6"/>
      <c r="H159" s="6"/>
      <c r="I159" s="6"/>
      <c r="J159" s="6"/>
      <c r="K159" s="6"/>
      <c r="L159" s="6"/>
      <c r="M159" s="6"/>
      <c r="N159" s="6"/>
    </row>
    <row r="160" spans="2:14" x14ac:dyDescent="0.25">
      <c r="B160" s="7"/>
      <c r="C160" s="6"/>
      <c r="D160" s="6"/>
      <c r="E160" s="7"/>
      <c r="F160" s="6"/>
      <c r="G160" s="6"/>
      <c r="H160" s="6"/>
      <c r="I160" s="6"/>
      <c r="J160" s="6"/>
      <c r="K160" s="6"/>
      <c r="L160" s="6"/>
      <c r="M160" s="6"/>
      <c r="N160" s="6"/>
    </row>
    <row r="161" spans="2:14" x14ac:dyDescent="0.25">
      <c r="B161" s="7"/>
      <c r="C161" s="6"/>
      <c r="D161" s="6"/>
      <c r="E161" s="7"/>
      <c r="F161" s="6"/>
      <c r="G161" s="6"/>
      <c r="H161" s="6"/>
      <c r="I161" s="6"/>
      <c r="J161" s="6"/>
      <c r="K161" s="6"/>
      <c r="L161" s="6"/>
      <c r="M161" s="6"/>
      <c r="N161" s="6"/>
    </row>
    <row r="162" spans="2:14" x14ac:dyDescent="0.25">
      <c r="B162" s="7"/>
      <c r="C162" s="6"/>
      <c r="D162" s="6"/>
      <c r="E162" s="7"/>
      <c r="F162" s="6"/>
      <c r="G162" s="6"/>
      <c r="H162" s="6"/>
      <c r="I162" s="6"/>
      <c r="J162" s="6"/>
      <c r="K162" s="6"/>
      <c r="L162" s="6"/>
      <c r="M162" s="6"/>
      <c r="N162" s="6"/>
    </row>
    <row r="163" spans="2:14" x14ac:dyDescent="0.25">
      <c r="B163" s="7"/>
      <c r="C163" s="6"/>
      <c r="D163" s="6"/>
      <c r="E163" s="7"/>
      <c r="F163" s="6"/>
      <c r="G163" s="6"/>
      <c r="H163" s="6"/>
      <c r="I163" s="6"/>
      <c r="J163" s="6"/>
      <c r="K163" s="6"/>
      <c r="L163" s="6"/>
      <c r="M163" s="6"/>
      <c r="N163" s="6"/>
    </row>
    <row r="164" spans="2:14" x14ac:dyDescent="0.25">
      <c r="B164" s="7"/>
      <c r="C164" s="6"/>
      <c r="D164" s="6"/>
      <c r="E164" s="7"/>
      <c r="F164" s="6"/>
      <c r="G164" s="6"/>
      <c r="H164" s="6"/>
      <c r="I164" s="6"/>
      <c r="J164" s="6"/>
      <c r="K164" s="6"/>
      <c r="L164" s="6"/>
      <c r="M164" s="6"/>
      <c r="N164" s="6"/>
    </row>
    <row r="165" spans="2:14" x14ac:dyDescent="0.25">
      <c r="B165" s="7"/>
      <c r="C165" s="6"/>
      <c r="D165" s="6"/>
      <c r="E165" s="7"/>
      <c r="F165" s="6"/>
      <c r="G165" s="6"/>
      <c r="H165" s="6"/>
      <c r="I165" s="6"/>
      <c r="J165" s="6"/>
      <c r="K165" s="6"/>
      <c r="L165" s="6"/>
      <c r="M165" s="6"/>
      <c r="N165" s="6"/>
    </row>
    <row r="166" spans="2:14" x14ac:dyDescent="0.25">
      <c r="B166" s="7"/>
      <c r="C166" s="6"/>
      <c r="D166" s="6"/>
      <c r="E166" s="7"/>
      <c r="F166" s="6"/>
      <c r="G166" s="6"/>
      <c r="H166" s="6"/>
      <c r="I166" s="6"/>
      <c r="J166" s="6"/>
      <c r="K166" s="6"/>
      <c r="L166" s="6"/>
      <c r="M166" s="6"/>
      <c r="N166" s="6"/>
    </row>
    <row r="167" spans="2:14" x14ac:dyDescent="0.25">
      <c r="B167" s="7"/>
      <c r="C167" s="6"/>
      <c r="D167" s="6"/>
      <c r="E167" s="7"/>
      <c r="F167" s="6"/>
      <c r="G167" s="6"/>
      <c r="H167" s="6"/>
      <c r="I167" s="6"/>
      <c r="J167" s="6"/>
      <c r="K167" s="6"/>
      <c r="L167" s="6"/>
      <c r="M167" s="6"/>
      <c r="N167" s="6"/>
    </row>
    <row r="168" spans="2:14" x14ac:dyDescent="0.25">
      <c r="B168" s="7"/>
      <c r="C168" s="6"/>
      <c r="D168" s="6"/>
      <c r="E168" s="7"/>
      <c r="F168" s="6"/>
      <c r="G168" s="6"/>
      <c r="H168" s="6"/>
      <c r="I168" s="6"/>
      <c r="J168" s="6"/>
      <c r="K168" s="6"/>
      <c r="L168" s="6"/>
      <c r="M168" s="6"/>
      <c r="N168" s="6"/>
    </row>
    <row r="169" spans="2:14" x14ac:dyDescent="0.25">
      <c r="B169" s="7"/>
      <c r="C169" s="6"/>
      <c r="D169" s="6"/>
      <c r="E169" s="7"/>
      <c r="F169" s="6"/>
      <c r="G169" s="6"/>
      <c r="H169" s="6"/>
      <c r="I169" s="6"/>
      <c r="J169" s="6"/>
      <c r="K169" s="6"/>
      <c r="L169" s="6"/>
      <c r="M169" s="6"/>
      <c r="N169" s="6"/>
    </row>
    <row r="170" spans="2:14" x14ac:dyDescent="0.25">
      <c r="B170" s="7"/>
      <c r="C170" s="6"/>
      <c r="D170" s="6"/>
      <c r="E170" s="7"/>
      <c r="F170" s="6"/>
      <c r="G170" s="6"/>
      <c r="H170" s="6"/>
      <c r="I170" s="6"/>
      <c r="J170" s="6"/>
      <c r="K170" s="6"/>
      <c r="L170" s="6"/>
      <c r="M170" s="6"/>
      <c r="N170" s="6"/>
    </row>
    <row r="171" spans="2:14" x14ac:dyDescent="0.25">
      <c r="B171" s="7"/>
      <c r="C171" s="6"/>
      <c r="D171" s="6"/>
      <c r="E171" s="7"/>
      <c r="F171" s="6"/>
      <c r="G171" s="6"/>
      <c r="H171" s="6"/>
      <c r="I171" s="6"/>
      <c r="J171" s="6"/>
      <c r="K171" s="6"/>
      <c r="L171" s="6"/>
      <c r="M171" s="6"/>
      <c r="N171" s="6"/>
    </row>
    <row r="172" spans="2:14" x14ac:dyDescent="0.25">
      <c r="B172" s="7"/>
      <c r="C172" s="6"/>
      <c r="D172" s="6"/>
      <c r="E172" s="7"/>
      <c r="F172" s="6"/>
      <c r="G172" s="6"/>
      <c r="H172" s="6"/>
      <c r="I172" s="6"/>
      <c r="J172" s="6"/>
      <c r="K172" s="6"/>
      <c r="L172" s="6"/>
      <c r="M172" s="6"/>
      <c r="N172" s="6"/>
    </row>
    <row r="173" spans="2:14" x14ac:dyDescent="0.25">
      <c r="B173" s="7"/>
      <c r="C173" s="6"/>
      <c r="D173" s="6"/>
      <c r="E173" s="7"/>
      <c r="F173" s="6"/>
      <c r="G173" s="6"/>
      <c r="H173" s="6"/>
      <c r="I173" s="6"/>
      <c r="J173" s="6"/>
      <c r="K173" s="6"/>
      <c r="L173" s="6"/>
      <c r="M173" s="6"/>
      <c r="N173" s="6"/>
    </row>
    <row r="174" spans="2:14" x14ac:dyDescent="0.25">
      <c r="B174" s="7"/>
      <c r="C174" s="6"/>
      <c r="D174" s="6"/>
      <c r="E174" s="7"/>
      <c r="F174" s="6"/>
      <c r="G174" s="6"/>
      <c r="H174" s="6"/>
      <c r="I174" s="6"/>
      <c r="J174" s="6"/>
      <c r="K174" s="6"/>
      <c r="L174" s="6"/>
      <c r="M174" s="6"/>
      <c r="N174" s="6"/>
    </row>
    <row r="175" spans="2:14" x14ac:dyDescent="0.25">
      <c r="B175" s="7"/>
      <c r="C175" s="6"/>
      <c r="D175" s="6"/>
      <c r="E175" s="7"/>
      <c r="F175" s="6"/>
      <c r="G175" s="6"/>
      <c r="H175" s="6"/>
      <c r="I175" s="6"/>
      <c r="J175" s="6"/>
      <c r="K175" s="6"/>
      <c r="L175" s="6"/>
      <c r="M175" s="6"/>
      <c r="N175" s="6"/>
    </row>
    <row r="176" spans="2:14" x14ac:dyDescent="0.25">
      <c r="B176" s="7"/>
      <c r="C176" s="6"/>
      <c r="D176" s="6"/>
      <c r="E176" s="7"/>
      <c r="F176" s="6"/>
      <c r="G176" s="6"/>
      <c r="H176" s="6"/>
      <c r="I176" s="6"/>
      <c r="J176" s="6"/>
      <c r="K176" s="6"/>
      <c r="L176" s="6"/>
      <c r="M176" s="6"/>
      <c r="N176" s="6"/>
    </row>
    <row r="177" spans="2:14" x14ac:dyDescent="0.25">
      <c r="B177" s="7"/>
      <c r="C177" s="6"/>
      <c r="D177" s="6"/>
      <c r="E177" s="7"/>
      <c r="F177" s="6"/>
      <c r="G177" s="6"/>
      <c r="H177" s="6"/>
      <c r="I177" s="6"/>
      <c r="J177" s="6"/>
      <c r="K177" s="6"/>
      <c r="L177" s="6"/>
      <c r="M177" s="6"/>
      <c r="N177" s="6"/>
    </row>
    <row r="178" spans="2:14" x14ac:dyDescent="0.25">
      <c r="B178" s="7"/>
      <c r="C178" s="6"/>
      <c r="D178" s="6"/>
      <c r="E178" s="7"/>
      <c r="F178" s="6"/>
      <c r="G178" s="6"/>
      <c r="H178" s="6"/>
      <c r="I178" s="6"/>
      <c r="J178" s="6"/>
      <c r="K178" s="6"/>
      <c r="L178" s="6"/>
      <c r="M178" s="6"/>
      <c r="N178" s="6"/>
    </row>
    <row r="179" spans="2:14" x14ac:dyDescent="0.25">
      <c r="B179" s="7"/>
      <c r="C179" s="6"/>
      <c r="D179" s="6"/>
      <c r="E179" s="7"/>
      <c r="F179" s="6"/>
      <c r="G179" s="6"/>
      <c r="H179" s="6"/>
      <c r="I179" s="6"/>
      <c r="J179" s="6"/>
      <c r="K179" s="6"/>
      <c r="L179" s="6"/>
      <c r="M179" s="6"/>
      <c r="N179" s="6"/>
    </row>
    <row r="180" spans="2:14" x14ac:dyDescent="0.25">
      <c r="B180" s="7"/>
      <c r="C180" s="6"/>
      <c r="D180" s="6"/>
      <c r="E180" s="7"/>
      <c r="F180" s="6"/>
      <c r="G180" s="6"/>
      <c r="H180" s="6"/>
      <c r="I180" s="6"/>
      <c r="J180" s="6"/>
      <c r="K180" s="6"/>
      <c r="L180" s="6"/>
      <c r="M180" s="6"/>
      <c r="N180" s="6"/>
    </row>
    <row r="181" spans="2:14" x14ac:dyDescent="0.25">
      <c r="B181" s="7"/>
      <c r="C181" s="6"/>
      <c r="D181" s="6"/>
      <c r="E181" s="7"/>
      <c r="F181" s="6"/>
      <c r="G181" s="6"/>
      <c r="H181" s="6"/>
      <c r="I181" s="6"/>
      <c r="J181" s="6"/>
      <c r="K181" s="6"/>
      <c r="L181" s="6"/>
      <c r="M181" s="6"/>
      <c r="N181" s="6"/>
    </row>
    <row r="182" spans="2:14" x14ac:dyDescent="0.25">
      <c r="B182" s="7"/>
      <c r="C182" s="6"/>
      <c r="D182" s="6"/>
      <c r="E182" s="7"/>
      <c r="F182" s="6"/>
      <c r="G182" s="6"/>
      <c r="H182" s="6"/>
      <c r="I182" s="6"/>
      <c r="J182" s="6"/>
      <c r="K182" s="6"/>
      <c r="L182" s="6"/>
      <c r="M182" s="6"/>
      <c r="N182" s="6"/>
    </row>
    <row r="183" spans="2:14" x14ac:dyDescent="0.25">
      <c r="B183" s="7"/>
      <c r="C183" s="6"/>
      <c r="D183" s="6"/>
      <c r="E183" s="7"/>
      <c r="F183" s="6"/>
      <c r="G183" s="6"/>
      <c r="H183" s="6"/>
      <c r="I183" s="6"/>
      <c r="J183" s="6"/>
      <c r="K183" s="6"/>
      <c r="L183" s="6"/>
      <c r="M183" s="6"/>
      <c r="N183" s="6"/>
    </row>
    <row r="184" spans="2:14" x14ac:dyDescent="0.25">
      <c r="B184" s="7"/>
      <c r="C184" s="6"/>
      <c r="D184" s="6"/>
      <c r="E184" s="7"/>
      <c r="F184" s="6"/>
      <c r="G184" s="6"/>
      <c r="H184" s="6"/>
      <c r="I184" s="6"/>
      <c r="J184" s="6"/>
      <c r="K184" s="6"/>
      <c r="L184" s="6"/>
      <c r="M184" s="6"/>
      <c r="N184" s="6"/>
    </row>
    <row r="185" spans="2:14" x14ac:dyDescent="0.25">
      <c r="B185" s="7"/>
      <c r="C185" s="6"/>
      <c r="D185" s="6"/>
      <c r="E185" s="7"/>
      <c r="F185" s="6"/>
      <c r="G185" s="6"/>
      <c r="H185" s="6"/>
      <c r="I185" s="6"/>
      <c r="J185" s="6"/>
      <c r="K185" s="6"/>
      <c r="L185" s="6"/>
      <c r="M185" s="6"/>
      <c r="N185" s="6"/>
    </row>
    <row r="186" spans="2:14" x14ac:dyDescent="0.25">
      <c r="B186" s="7"/>
      <c r="C186" s="6"/>
      <c r="D186" s="6"/>
      <c r="E186" s="7"/>
      <c r="F186" s="6"/>
      <c r="G186" s="6"/>
      <c r="H186" s="6"/>
      <c r="I186" s="6"/>
      <c r="J186" s="6"/>
      <c r="K186" s="6"/>
      <c r="L186" s="6"/>
      <c r="M186" s="6"/>
      <c r="N186" s="6"/>
    </row>
    <row r="187" spans="2:14" x14ac:dyDescent="0.25">
      <c r="B187" s="7"/>
      <c r="C187" s="6"/>
      <c r="D187" s="6"/>
      <c r="E187" s="7"/>
      <c r="F187" s="6"/>
      <c r="G187" s="6"/>
      <c r="H187" s="6"/>
      <c r="I187" s="6"/>
      <c r="J187" s="6"/>
      <c r="K187" s="6"/>
      <c r="L187" s="6"/>
      <c r="M187" s="6"/>
      <c r="N187" s="6"/>
    </row>
    <row r="188" spans="2:14" x14ac:dyDescent="0.25">
      <c r="B188" s="7"/>
      <c r="C188" s="6"/>
      <c r="D188" s="6"/>
      <c r="E188" s="7"/>
      <c r="F188" s="6"/>
      <c r="G188" s="6"/>
      <c r="H188" s="6"/>
      <c r="I188" s="6"/>
      <c r="J188" s="6"/>
      <c r="K188" s="6"/>
      <c r="L188" s="6"/>
      <c r="M188" s="6"/>
      <c r="N188" s="6"/>
    </row>
    <row r="189" spans="2:14" x14ac:dyDescent="0.25">
      <c r="B189" s="7"/>
      <c r="C189" s="6"/>
      <c r="D189" s="6"/>
      <c r="E189" s="7"/>
      <c r="F189" s="6"/>
      <c r="G189" s="6"/>
      <c r="H189" s="6"/>
      <c r="I189" s="6"/>
      <c r="J189" s="6"/>
      <c r="K189" s="6"/>
      <c r="L189" s="6"/>
      <c r="M189" s="6"/>
      <c r="N189" s="6"/>
    </row>
    <row r="190" spans="2:14" x14ac:dyDescent="0.25">
      <c r="B190" s="7"/>
      <c r="C190" s="6"/>
      <c r="D190" s="6"/>
      <c r="E190" s="7"/>
      <c r="F190" s="6"/>
      <c r="G190" s="6"/>
      <c r="H190" s="6"/>
      <c r="I190" s="6"/>
      <c r="J190" s="6"/>
      <c r="K190" s="6"/>
      <c r="L190" s="6"/>
      <c r="M190" s="6"/>
      <c r="N190" s="6"/>
    </row>
    <row r="191" spans="2:14" x14ac:dyDescent="0.25">
      <c r="B191" s="7"/>
      <c r="C191" s="6"/>
      <c r="D191" s="6"/>
      <c r="E191" s="7"/>
      <c r="F191" s="6"/>
      <c r="G191" s="6"/>
      <c r="H191" s="6"/>
      <c r="I191" s="6"/>
      <c r="J191" s="6"/>
      <c r="K191" s="6"/>
      <c r="L191" s="6"/>
      <c r="M191" s="6"/>
      <c r="N191" s="6"/>
    </row>
    <row r="192" spans="2:14" x14ac:dyDescent="0.25">
      <c r="B192" s="7"/>
      <c r="C192" s="6"/>
      <c r="D192" s="6"/>
      <c r="E192" s="7"/>
      <c r="F192" s="6"/>
      <c r="G192" s="6"/>
      <c r="H192" s="6"/>
      <c r="I192" s="6"/>
      <c r="J192" s="6"/>
      <c r="K192" s="6"/>
      <c r="L192" s="6"/>
      <c r="M192" s="6"/>
      <c r="N192" s="6"/>
    </row>
    <row r="193" spans="2:14" x14ac:dyDescent="0.25">
      <c r="B193" s="7"/>
      <c r="C193" s="6"/>
      <c r="D193" s="6"/>
      <c r="E193" s="7"/>
      <c r="F193" s="6"/>
      <c r="G193" s="6"/>
      <c r="H193" s="6"/>
      <c r="I193" s="6"/>
      <c r="J193" s="6"/>
      <c r="K193" s="6"/>
      <c r="L193" s="6"/>
      <c r="M193" s="6"/>
      <c r="N193" s="6"/>
    </row>
    <row r="194" spans="2:14" x14ac:dyDescent="0.25">
      <c r="B194" s="7"/>
      <c r="C194" s="6"/>
      <c r="D194" s="6"/>
      <c r="E194" s="7"/>
      <c r="F194" s="6"/>
      <c r="G194" s="6"/>
      <c r="H194" s="6"/>
      <c r="I194" s="6"/>
      <c r="J194" s="6"/>
      <c r="K194" s="6"/>
      <c r="L194" s="6"/>
      <c r="M194" s="6"/>
      <c r="N194" s="6"/>
    </row>
    <row r="195" spans="2:14" x14ac:dyDescent="0.25">
      <c r="B195" s="7"/>
      <c r="C195" s="6"/>
      <c r="D195" s="6"/>
      <c r="E195" s="7"/>
      <c r="F195" s="6"/>
      <c r="G195" s="6"/>
      <c r="H195" s="6"/>
      <c r="I195" s="6"/>
      <c r="J195" s="6"/>
      <c r="K195" s="6"/>
      <c r="L195" s="6"/>
      <c r="M195" s="6"/>
      <c r="N195" s="6"/>
    </row>
    <row r="196" spans="2:14" x14ac:dyDescent="0.25">
      <c r="B196" s="7"/>
      <c r="C196" s="6"/>
      <c r="D196" s="6"/>
      <c r="E196" s="7"/>
      <c r="F196" s="6"/>
      <c r="G196" s="6"/>
      <c r="H196" s="6"/>
      <c r="I196" s="6"/>
      <c r="J196" s="6"/>
      <c r="K196" s="6"/>
      <c r="L196" s="6"/>
      <c r="M196" s="6"/>
      <c r="N196" s="6"/>
    </row>
    <row r="197" spans="2:14" x14ac:dyDescent="0.25">
      <c r="B197" s="7"/>
      <c r="C197" s="6"/>
      <c r="D197" s="6"/>
      <c r="E197" s="7"/>
      <c r="F197" s="6"/>
      <c r="G197" s="6"/>
      <c r="H197" s="6"/>
      <c r="I197" s="6"/>
      <c r="J197" s="6"/>
      <c r="K197" s="6"/>
      <c r="L197" s="6"/>
      <c r="M197" s="6"/>
      <c r="N197" s="6"/>
    </row>
    <row r="198" spans="2:14" x14ac:dyDescent="0.25">
      <c r="B198" s="7"/>
      <c r="C198" s="6"/>
      <c r="D198" s="6"/>
      <c r="E198" s="7"/>
      <c r="F198" s="6"/>
      <c r="G198" s="6"/>
      <c r="H198" s="6"/>
      <c r="I198" s="6"/>
      <c r="J198" s="6"/>
      <c r="K198" s="6"/>
      <c r="L198" s="6"/>
      <c r="M198" s="6"/>
      <c r="N198" s="6"/>
    </row>
    <row r="199" spans="2:14" x14ac:dyDescent="0.25">
      <c r="B199" s="7"/>
      <c r="C199" s="6"/>
      <c r="D199" s="6"/>
      <c r="E199" s="7"/>
      <c r="F199" s="6"/>
      <c r="G199" s="6"/>
      <c r="H199" s="6"/>
      <c r="I199" s="6"/>
      <c r="J199" s="6"/>
      <c r="K199" s="6"/>
      <c r="L199" s="6"/>
      <c r="M199" s="6"/>
      <c r="N199" s="6"/>
    </row>
    <row r="200" spans="2:14" x14ac:dyDescent="0.25">
      <c r="B200" s="7"/>
      <c r="C200" s="6"/>
      <c r="D200" s="6"/>
      <c r="E200" s="7"/>
      <c r="F200" s="6"/>
      <c r="G200" s="6"/>
      <c r="H200" s="6"/>
      <c r="I200" s="6"/>
      <c r="J200" s="6"/>
      <c r="K200" s="6"/>
      <c r="L200" s="6"/>
      <c r="M200" s="6"/>
      <c r="N200" s="6"/>
    </row>
    <row r="201" spans="2:14" x14ac:dyDescent="0.25">
      <c r="B201" s="7"/>
      <c r="C201" s="6"/>
      <c r="D201" s="6"/>
      <c r="E201" s="7"/>
      <c r="F201" s="6"/>
      <c r="G201" s="6"/>
      <c r="H201" s="6"/>
      <c r="I201" s="6"/>
      <c r="J201" s="6"/>
      <c r="K201" s="6"/>
      <c r="L201" s="6"/>
      <c r="M201" s="6"/>
      <c r="N201" s="6"/>
    </row>
    <row r="202" spans="2:14" x14ac:dyDescent="0.25">
      <c r="B202" s="7"/>
      <c r="C202" s="6"/>
      <c r="D202" s="6"/>
      <c r="E202" s="7"/>
      <c r="F202" s="6"/>
      <c r="G202" s="6"/>
      <c r="H202" s="6"/>
      <c r="I202" s="6"/>
      <c r="J202" s="6"/>
      <c r="K202" s="6"/>
      <c r="L202" s="6"/>
      <c r="M202" s="6"/>
      <c r="N202" s="6"/>
    </row>
    <row r="203" spans="2:14" x14ac:dyDescent="0.25">
      <c r="B203" s="7"/>
      <c r="C203" s="6"/>
      <c r="D203" s="6"/>
      <c r="E203" s="7"/>
      <c r="F203" s="6"/>
      <c r="G203" s="6"/>
      <c r="H203" s="6"/>
      <c r="I203" s="6"/>
      <c r="J203" s="6"/>
      <c r="K203" s="6"/>
      <c r="L203" s="6"/>
      <c r="M203" s="6"/>
      <c r="N203" s="6"/>
    </row>
    <row r="204" spans="2:14" x14ac:dyDescent="0.25">
      <c r="B204" s="7"/>
      <c r="C204" s="6"/>
      <c r="D204" s="6"/>
      <c r="E204" s="7"/>
      <c r="F204" s="6"/>
      <c r="G204" s="6"/>
      <c r="H204" s="6"/>
      <c r="I204" s="6"/>
      <c r="J204" s="6"/>
      <c r="K204" s="6"/>
      <c r="L204" s="6"/>
      <c r="M204" s="6"/>
      <c r="N204" s="6"/>
    </row>
    <row r="205" spans="2:14" x14ac:dyDescent="0.25">
      <c r="B205" s="7"/>
      <c r="C205" s="6"/>
      <c r="D205" s="6"/>
      <c r="E205" s="7"/>
      <c r="F205" s="6"/>
      <c r="G205" s="6"/>
      <c r="H205" s="6"/>
      <c r="I205" s="6"/>
      <c r="J205" s="6"/>
      <c r="K205" s="6"/>
      <c r="L205" s="6"/>
      <c r="M205" s="6"/>
      <c r="N205" s="6"/>
    </row>
    <row r="206" spans="2:14" x14ac:dyDescent="0.25">
      <c r="B206" s="7"/>
      <c r="C206" s="6"/>
      <c r="D206" s="6"/>
      <c r="E206" s="7"/>
      <c r="F206" s="6"/>
      <c r="G206" s="6"/>
      <c r="H206" s="6"/>
      <c r="I206" s="6"/>
      <c r="J206" s="6"/>
      <c r="K206" s="6"/>
      <c r="L206" s="6"/>
      <c r="M206" s="6"/>
      <c r="N206" s="6"/>
    </row>
    <row r="207" spans="2:14" x14ac:dyDescent="0.25">
      <c r="B207" s="7"/>
      <c r="C207" s="6"/>
      <c r="D207" s="6"/>
      <c r="E207" s="7"/>
      <c r="F207" s="6"/>
      <c r="G207" s="6"/>
      <c r="H207" s="6"/>
      <c r="I207" s="6"/>
      <c r="J207" s="6"/>
      <c r="K207" s="6"/>
      <c r="L207" s="6"/>
      <c r="M207" s="6"/>
      <c r="N207" s="6"/>
    </row>
    <row r="208" spans="2:14" x14ac:dyDescent="0.25">
      <c r="B208" s="7"/>
      <c r="C208" s="6"/>
      <c r="D208" s="6"/>
      <c r="E208" s="7"/>
      <c r="F208" s="6"/>
      <c r="G208" s="6"/>
      <c r="H208" s="6"/>
      <c r="I208" s="6"/>
      <c r="J208" s="6"/>
      <c r="K208" s="6"/>
      <c r="L208" s="6"/>
      <c r="M208" s="6"/>
      <c r="N208" s="6"/>
    </row>
    <row r="209" spans="2:14" x14ac:dyDescent="0.25">
      <c r="B209" s="7"/>
      <c r="C209" s="6"/>
      <c r="D209" s="6"/>
      <c r="E209" s="7"/>
      <c r="F209" s="6"/>
      <c r="G209" s="6"/>
      <c r="H209" s="6"/>
      <c r="I209" s="6"/>
      <c r="J209" s="6"/>
      <c r="K209" s="6"/>
      <c r="L209" s="6"/>
      <c r="M209" s="6"/>
      <c r="N209" s="6"/>
    </row>
    <row r="210" spans="2:14" x14ac:dyDescent="0.25">
      <c r="B210" s="7"/>
      <c r="C210" s="6"/>
      <c r="D210" s="6"/>
      <c r="E210" s="7"/>
      <c r="F210" s="6"/>
      <c r="G210" s="6"/>
      <c r="H210" s="6"/>
      <c r="I210" s="6"/>
      <c r="J210" s="6"/>
      <c r="K210" s="6"/>
      <c r="L210" s="6"/>
      <c r="M210" s="6"/>
      <c r="N210" s="6"/>
    </row>
    <row r="211" spans="2:14" x14ac:dyDescent="0.25">
      <c r="B211" s="7"/>
      <c r="C211" s="6"/>
      <c r="D211" s="6"/>
      <c r="E211" s="7"/>
      <c r="F211" s="6"/>
      <c r="G211" s="6"/>
      <c r="H211" s="6"/>
      <c r="I211" s="6"/>
      <c r="J211" s="6"/>
      <c r="K211" s="6"/>
      <c r="L211" s="6"/>
      <c r="M211" s="6"/>
      <c r="N211" s="6"/>
    </row>
    <row r="212" spans="2:14" x14ac:dyDescent="0.25">
      <c r="B212" s="7"/>
      <c r="C212" s="6"/>
      <c r="D212" s="6"/>
      <c r="E212" s="7"/>
      <c r="F212" s="6"/>
      <c r="G212" s="6"/>
      <c r="H212" s="6"/>
      <c r="I212" s="6"/>
      <c r="J212" s="6"/>
      <c r="K212" s="6"/>
      <c r="L212" s="6"/>
      <c r="M212" s="6"/>
      <c r="N212" s="6"/>
    </row>
    <row r="213" spans="2:14" x14ac:dyDescent="0.25">
      <c r="B213" s="7"/>
      <c r="C213" s="6"/>
      <c r="D213" s="6"/>
      <c r="E213" s="7"/>
      <c r="F213" s="6"/>
      <c r="G213" s="6"/>
      <c r="H213" s="6"/>
      <c r="I213" s="6"/>
      <c r="J213" s="6"/>
      <c r="K213" s="6"/>
      <c r="L213" s="6"/>
      <c r="M213" s="6"/>
      <c r="N213" s="6"/>
    </row>
    <row r="214" spans="2:14" x14ac:dyDescent="0.25">
      <c r="B214" s="7"/>
      <c r="C214" s="6"/>
      <c r="D214" s="6"/>
      <c r="E214" s="7"/>
      <c r="F214" s="6"/>
      <c r="G214" s="6"/>
      <c r="H214" s="6"/>
      <c r="I214" s="6"/>
      <c r="J214" s="6"/>
      <c r="K214" s="6"/>
      <c r="L214" s="6"/>
      <c r="M214" s="6"/>
      <c r="N214" s="6"/>
    </row>
    <row r="215" spans="2:14" x14ac:dyDescent="0.25">
      <c r="B215" s="7"/>
      <c r="C215" s="6"/>
      <c r="D215" s="6"/>
      <c r="E215" s="7"/>
      <c r="F215" s="6"/>
      <c r="G215" s="6"/>
      <c r="H215" s="6"/>
      <c r="I215" s="6"/>
      <c r="J215" s="6"/>
      <c r="K215" s="6"/>
      <c r="L215" s="6"/>
      <c r="M215" s="6"/>
      <c r="N215" s="6"/>
    </row>
    <row r="216" spans="2:14" x14ac:dyDescent="0.25">
      <c r="B216" s="7"/>
      <c r="C216" s="6"/>
      <c r="D216" s="6"/>
      <c r="E216" s="7"/>
      <c r="F216" s="6"/>
      <c r="G216" s="6"/>
      <c r="H216" s="6"/>
      <c r="I216" s="6"/>
      <c r="J216" s="6"/>
      <c r="K216" s="6"/>
      <c r="L216" s="6"/>
      <c r="M216" s="6"/>
      <c r="N216" s="6"/>
    </row>
    <row r="217" spans="2:14" x14ac:dyDescent="0.25">
      <c r="B217" s="7"/>
      <c r="C217" s="6"/>
      <c r="D217" s="6"/>
      <c r="E217" s="7"/>
      <c r="F217" s="6"/>
      <c r="G217" s="6"/>
      <c r="H217" s="6"/>
      <c r="I217" s="6"/>
      <c r="J217" s="6"/>
      <c r="K217" s="6"/>
      <c r="L217" s="6"/>
      <c r="M217" s="6"/>
      <c r="N217" s="6"/>
    </row>
    <row r="218" spans="2:14" x14ac:dyDescent="0.25">
      <c r="B218" s="7"/>
      <c r="C218" s="6"/>
      <c r="D218" s="6"/>
      <c r="E218" s="7"/>
      <c r="F218" s="6"/>
      <c r="G218" s="6"/>
      <c r="H218" s="6"/>
      <c r="I218" s="6"/>
      <c r="J218" s="6"/>
      <c r="K218" s="6"/>
      <c r="L218" s="6"/>
      <c r="M218" s="6"/>
      <c r="N218" s="6"/>
    </row>
    <row r="219" spans="2:14" x14ac:dyDescent="0.25">
      <c r="B219" s="7"/>
      <c r="C219" s="6"/>
      <c r="D219" s="6"/>
      <c r="E219" s="7"/>
      <c r="F219" s="6"/>
      <c r="G219" s="6"/>
      <c r="H219" s="6"/>
      <c r="I219" s="6"/>
      <c r="J219" s="6"/>
      <c r="K219" s="6"/>
      <c r="L219" s="6"/>
      <c r="M219" s="6"/>
      <c r="N219" s="6"/>
    </row>
    <row r="220" spans="2:14" x14ac:dyDescent="0.25">
      <c r="B220" s="7"/>
      <c r="C220" s="6"/>
      <c r="D220" s="6"/>
      <c r="E220" s="7"/>
      <c r="F220" s="6"/>
      <c r="G220" s="6"/>
      <c r="H220" s="6"/>
      <c r="I220" s="6"/>
      <c r="J220" s="6"/>
      <c r="K220" s="6"/>
      <c r="L220" s="6"/>
      <c r="M220" s="6"/>
      <c r="N220" s="6"/>
    </row>
    <row r="221" spans="2:14" x14ac:dyDescent="0.25">
      <c r="B221" s="7"/>
      <c r="C221" s="6"/>
      <c r="D221" s="6"/>
      <c r="E221" s="7"/>
      <c r="F221" s="6"/>
      <c r="G221" s="6"/>
      <c r="H221" s="6"/>
      <c r="I221" s="6"/>
      <c r="J221" s="6"/>
      <c r="K221" s="6"/>
      <c r="L221" s="6"/>
      <c r="M221" s="6"/>
      <c r="N221" s="6"/>
    </row>
    <row r="222" spans="2:14" x14ac:dyDescent="0.25">
      <c r="B222" s="7"/>
      <c r="C222" s="6"/>
      <c r="D222" s="6"/>
      <c r="E222" s="7"/>
      <c r="F222" s="6"/>
      <c r="G222" s="6"/>
      <c r="H222" s="6"/>
      <c r="I222" s="6"/>
      <c r="J222" s="6"/>
      <c r="K222" s="6"/>
      <c r="L222" s="6"/>
      <c r="M222" s="6"/>
      <c r="N222" s="6"/>
    </row>
    <row r="223" spans="2:14" x14ac:dyDescent="0.25">
      <c r="B223" s="7"/>
      <c r="C223" s="6"/>
      <c r="D223" s="6"/>
      <c r="E223" s="7"/>
      <c r="F223" s="6"/>
      <c r="G223" s="6"/>
      <c r="H223" s="6"/>
      <c r="I223" s="6"/>
      <c r="J223" s="6"/>
      <c r="K223" s="6"/>
      <c r="L223" s="6"/>
      <c r="M223" s="6"/>
      <c r="N223" s="6"/>
    </row>
    <row r="224" spans="2:14" x14ac:dyDescent="0.25">
      <c r="B224" s="7"/>
      <c r="C224" s="6"/>
      <c r="D224" s="6"/>
      <c r="E224" s="7"/>
      <c r="F224" s="6"/>
      <c r="G224" s="6"/>
      <c r="H224" s="6"/>
      <c r="I224" s="6"/>
      <c r="J224" s="6"/>
      <c r="K224" s="6"/>
      <c r="L224" s="6"/>
      <c r="M224" s="6"/>
      <c r="N224" s="6"/>
    </row>
    <row r="225" spans="2:14" x14ac:dyDescent="0.25">
      <c r="B225" s="7"/>
      <c r="C225" s="6"/>
      <c r="D225" s="6"/>
      <c r="E225" s="7"/>
      <c r="F225" s="6"/>
      <c r="G225" s="6"/>
      <c r="H225" s="6"/>
      <c r="I225" s="6"/>
      <c r="J225" s="6"/>
      <c r="K225" s="6"/>
      <c r="L225" s="6"/>
      <c r="M225" s="6"/>
      <c r="N225" s="6"/>
    </row>
    <row r="226" spans="2:14" x14ac:dyDescent="0.25">
      <c r="B226" s="7"/>
      <c r="C226" s="6"/>
      <c r="D226" s="6"/>
      <c r="E226" s="7"/>
      <c r="F226" s="6"/>
      <c r="G226" s="6"/>
      <c r="H226" s="6"/>
      <c r="I226" s="6"/>
      <c r="J226" s="6"/>
      <c r="K226" s="6"/>
      <c r="L226" s="6"/>
      <c r="M226" s="6"/>
      <c r="N226" s="6"/>
    </row>
    <row r="227" spans="2:14" x14ac:dyDescent="0.25">
      <c r="B227" s="7"/>
      <c r="C227" s="6"/>
      <c r="D227" s="6"/>
      <c r="E227" s="7"/>
      <c r="F227" s="6"/>
      <c r="G227" s="6"/>
      <c r="H227" s="6"/>
      <c r="I227" s="6"/>
      <c r="J227" s="6"/>
      <c r="K227" s="6"/>
      <c r="L227" s="6"/>
      <c r="M227" s="6"/>
      <c r="N227" s="6"/>
    </row>
    <row r="228" spans="2:14" x14ac:dyDescent="0.25">
      <c r="B228" s="7"/>
      <c r="C228" s="6"/>
      <c r="D228" s="6"/>
      <c r="E228" s="7"/>
      <c r="F228" s="6"/>
      <c r="G228" s="6"/>
      <c r="H228" s="6"/>
      <c r="I228" s="6"/>
      <c r="J228" s="6"/>
      <c r="K228" s="6"/>
      <c r="L228" s="6"/>
      <c r="M228" s="6"/>
      <c r="N228" s="6"/>
    </row>
    <row r="229" spans="2:14" x14ac:dyDescent="0.25">
      <c r="B229" s="7"/>
      <c r="C229" s="6"/>
      <c r="D229" s="6"/>
      <c r="E229" s="7"/>
      <c r="F229" s="6"/>
      <c r="G229" s="6"/>
      <c r="H229" s="6"/>
      <c r="I229" s="6"/>
      <c r="J229" s="6"/>
      <c r="K229" s="6"/>
      <c r="L229" s="6"/>
      <c r="M229" s="6"/>
      <c r="N229" s="6"/>
    </row>
    <row r="230" spans="2:14" x14ac:dyDescent="0.25">
      <c r="B230" s="7"/>
      <c r="C230" s="6"/>
      <c r="D230" s="6"/>
      <c r="E230" s="7"/>
      <c r="F230" s="6"/>
      <c r="G230" s="6"/>
      <c r="H230" s="6"/>
      <c r="I230" s="6"/>
      <c r="J230" s="6"/>
      <c r="K230" s="6"/>
      <c r="L230" s="6"/>
      <c r="M230" s="6"/>
      <c r="N230" s="6"/>
    </row>
    <row r="231" spans="2:14" x14ac:dyDescent="0.25">
      <c r="B231" s="7"/>
      <c r="C231" s="6"/>
      <c r="D231" s="6"/>
      <c r="E231" s="7"/>
      <c r="F231" s="6"/>
      <c r="G231" s="6"/>
      <c r="H231" s="6"/>
      <c r="I231" s="6"/>
      <c r="J231" s="6"/>
      <c r="K231" s="6"/>
      <c r="L231" s="6"/>
      <c r="M231" s="6"/>
      <c r="N231" s="6"/>
    </row>
    <row r="232" spans="2:14" x14ac:dyDescent="0.25">
      <c r="B232" s="7"/>
      <c r="C232" s="6"/>
      <c r="D232" s="6"/>
      <c r="E232" s="7"/>
      <c r="F232" s="6"/>
      <c r="G232" s="6"/>
      <c r="H232" s="6"/>
      <c r="I232" s="6"/>
      <c r="J232" s="6"/>
      <c r="K232" s="6"/>
      <c r="L232" s="6"/>
      <c r="M232" s="6"/>
      <c r="N232" s="6"/>
    </row>
    <row r="233" spans="2:14" x14ac:dyDescent="0.25">
      <c r="B233" s="7"/>
      <c r="C233" s="6"/>
      <c r="D233" s="6"/>
      <c r="E233" s="7"/>
      <c r="F233" s="6"/>
      <c r="G233" s="6"/>
      <c r="H233" s="6"/>
      <c r="I233" s="6"/>
      <c r="J233" s="6"/>
      <c r="K233" s="6"/>
      <c r="L233" s="6"/>
      <c r="M233" s="6"/>
      <c r="N233" s="6"/>
    </row>
    <row r="234" spans="2:14" x14ac:dyDescent="0.25">
      <c r="B234" s="7"/>
      <c r="C234" s="6"/>
      <c r="D234" s="6"/>
      <c r="E234" s="7"/>
      <c r="F234" s="6"/>
      <c r="G234" s="6"/>
      <c r="H234" s="6"/>
      <c r="I234" s="6"/>
      <c r="J234" s="6"/>
      <c r="K234" s="6"/>
      <c r="L234" s="6"/>
      <c r="M234" s="6"/>
      <c r="N234" s="6"/>
    </row>
    <row r="235" spans="2:14" x14ac:dyDescent="0.25">
      <c r="B235" s="7"/>
      <c r="C235" s="6"/>
      <c r="D235" s="6"/>
      <c r="E235" s="7"/>
      <c r="F235" s="6"/>
      <c r="G235" s="6"/>
      <c r="H235" s="6"/>
      <c r="I235" s="6"/>
      <c r="J235" s="6"/>
      <c r="K235" s="6"/>
      <c r="L235" s="6"/>
      <c r="M235" s="6"/>
      <c r="N235" s="6"/>
    </row>
    <row r="236" spans="2:14" x14ac:dyDescent="0.25">
      <c r="B236" s="7"/>
      <c r="C236" s="6"/>
      <c r="D236" s="6"/>
      <c r="E236" s="7"/>
      <c r="F236" s="6"/>
      <c r="G236" s="6"/>
      <c r="H236" s="6"/>
      <c r="I236" s="6"/>
      <c r="J236" s="6"/>
      <c r="K236" s="6"/>
      <c r="L236" s="6"/>
      <c r="M236" s="6"/>
      <c r="N236" s="6"/>
    </row>
    <row r="237" spans="2:14" x14ac:dyDescent="0.25">
      <c r="B237" s="7"/>
      <c r="C237" s="6"/>
      <c r="D237" s="6"/>
      <c r="E237" s="7"/>
      <c r="F237" s="6"/>
      <c r="G237" s="6"/>
      <c r="H237" s="6"/>
      <c r="I237" s="6"/>
      <c r="J237" s="6"/>
      <c r="K237" s="6"/>
      <c r="L237" s="6"/>
      <c r="M237" s="6"/>
      <c r="N237" s="6"/>
    </row>
    <row r="238" spans="2:14" x14ac:dyDescent="0.25">
      <c r="B238" s="7"/>
      <c r="C238" s="6"/>
      <c r="D238" s="6"/>
      <c r="E238" s="7"/>
      <c r="F238" s="6"/>
      <c r="G238" s="6"/>
      <c r="H238" s="6"/>
      <c r="I238" s="6"/>
      <c r="J238" s="6"/>
      <c r="K238" s="6"/>
      <c r="L238" s="6"/>
      <c r="M238" s="6"/>
      <c r="N238" s="6"/>
    </row>
    <row r="239" spans="2:14" x14ac:dyDescent="0.25">
      <c r="B239" s="7"/>
      <c r="C239" s="6"/>
      <c r="D239" s="6"/>
      <c r="E239" s="7"/>
      <c r="F239" s="6"/>
      <c r="G239" s="6"/>
      <c r="H239" s="6"/>
      <c r="I239" s="6"/>
      <c r="J239" s="6"/>
      <c r="K239" s="6"/>
      <c r="L239" s="6"/>
      <c r="M239" s="6"/>
      <c r="N239" s="6"/>
    </row>
    <row r="240" spans="2:14" x14ac:dyDescent="0.25">
      <c r="B240" s="7"/>
      <c r="C240" s="6"/>
      <c r="D240" s="6"/>
      <c r="E240" s="7"/>
      <c r="F240" s="6"/>
      <c r="G240" s="6"/>
      <c r="H240" s="6"/>
      <c r="I240" s="6"/>
      <c r="J240" s="6"/>
      <c r="K240" s="6"/>
      <c r="L240" s="6"/>
      <c r="M240" s="6"/>
      <c r="N240" s="6"/>
    </row>
    <row r="241" spans="2:14" x14ac:dyDescent="0.25">
      <c r="B241" s="7"/>
      <c r="C241" s="6"/>
      <c r="D241" s="6"/>
      <c r="E241" s="7"/>
      <c r="F241" s="6"/>
      <c r="G241" s="6"/>
      <c r="H241" s="6"/>
      <c r="I241" s="6"/>
      <c r="J241" s="6"/>
      <c r="K241" s="6"/>
      <c r="L241" s="6"/>
      <c r="M241" s="6"/>
      <c r="N241" s="6"/>
    </row>
    <row r="242" spans="2:14" x14ac:dyDescent="0.25">
      <c r="B242" s="7"/>
      <c r="C242" s="6"/>
      <c r="D242" s="6"/>
      <c r="E242" s="7"/>
      <c r="F242" s="6"/>
      <c r="G242" s="6"/>
      <c r="H242" s="6"/>
      <c r="I242" s="6"/>
      <c r="J242" s="6"/>
      <c r="K242" s="6"/>
      <c r="L242" s="6"/>
      <c r="M242" s="6"/>
      <c r="N242" s="6"/>
    </row>
    <row r="243" spans="2:14" x14ac:dyDescent="0.25">
      <c r="B243" s="7"/>
      <c r="C243" s="6"/>
      <c r="D243" s="6"/>
      <c r="E243" s="7"/>
      <c r="F243" s="6"/>
      <c r="G243" s="6"/>
      <c r="H243" s="6"/>
      <c r="I243" s="6"/>
      <c r="J243" s="6"/>
      <c r="K243" s="6"/>
      <c r="L243" s="6"/>
      <c r="M243" s="6"/>
      <c r="N243" s="6"/>
    </row>
    <row r="244" spans="2:14" x14ac:dyDescent="0.25">
      <c r="B244" s="7"/>
      <c r="C244" s="6"/>
      <c r="D244" s="6"/>
      <c r="E244" s="7"/>
      <c r="F244" s="6"/>
      <c r="G244" s="6"/>
      <c r="H244" s="6"/>
      <c r="I244" s="6"/>
      <c r="J244" s="6"/>
      <c r="K244" s="6"/>
      <c r="L244" s="6"/>
      <c r="M244" s="6"/>
      <c r="N244" s="6"/>
    </row>
    <row r="245" spans="2:14" x14ac:dyDescent="0.25">
      <c r="B245" s="7"/>
      <c r="C245" s="6"/>
      <c r="D245" s="6"/>
      <c r="E245" s="7"/>
      <c r="F245" s="6"/>
      <c r="G245" s="6"/>
      <c r="H245" s="6"/>
      <c r="I245" s="6"/>
      <c r="J245" s="6"/>
      <c r="K245" s="6"/>
      <c r="L245" s="6"/>
      <c r="M245" s="6"/>
      <c r="N245" s="6"/>
    </row>
    <row r="246" spans="2:14" x14ac:dyDescent="0.25">
      <c r="B246" s="7"/>
      <c r="C246" s="6"/>
      <c r="D246" s="6"/>
      <c r="E246" s="7"/>
      <c r="F246" s="6"/>
      <c r="G246" s="6"/>
      <c r="H246" s="6"/>
      <c r="I246" s="6"/>
      <c r="J246" s="6"/>
      <c r="K246" s="6"/>
      <c r="L246" s="6"/>
      <c r="M246" s="6"/>
      <c r="N246" s="6"/>
    </row>
    <row r="247" spans="2:14" x14ac:dyDescent="0.25">
      <c r="B247" s="7"/>
      <c r="C247" s="6"/>
      <c r="D247" s="6"/>
      <c r="E247" s="7"/>
      <c r="F247" s="6"/>
      <c r="G247" s="6"/>
      <c r="H247" s="6"/>
      <c r="I247" s="6"/>
      <c r="J247" s="6"/>
      <c r="K247" s="6"/>
      <c r="L247" s="6"/>
      <c r="M247" s="6"/>
      <c r="N247" s="6"/>
    </row>
    <row r="248" spans="2:14" x14ac:dyDescent="0.25">
      <c r="B248" s="7"/>
      <c r="C248" s="6"/>
      <c r="D248" s="6"/>
      <c r="E248" s="7"/>
      <c r="F248" s="6"/>
      <c r="G248" s="6"/>
      <c r="H248" s="6"/>
      <c r="I248" s="6"/>
      <c r="J248" s="6"/>
      <c r="K248" s="6"/>
      <c r="L248" s="6"/>
      <c r="M248" s="6"/>
      <c r="N248" s="6"/>
    </row>
    <row r="249" spans="2:14" x14ac:dyDescent="0.25">
      <c r="B249" s="7"/>
      <c r="C249" s="6"/>
      <c r="D249" s="6"/>
      <c r="E249" s="7"/>
      <c r="F249" s="6"/>
      <c r="G249" s="6"/>
      <c r="H249" s="6"/>
      <c r="I249" s="6"/>
      <c r="J249" s="6"/>
      <c r="K249" s="6"/>
      <c r="L249" s="6"/>
      <c r="M249" s="6"/>
      <c r="N249" s="6"/>
    </row>
    <row r="250" spans="2:14" x14ac:dyDescent="0.25">
      <c r="B250" s="7"/>
      <c r="C250" s="6"/>
      <c r="D250" s="6"/>
      <c r="E250" s="7"/>
      <c r="F250" s="6"/>
      <c r="G250" s="6"/>
      <c r="H250" s="6"/>
      <c r="I250" s="6"/>
      <c r="J250" s="6"/>
      <c r="K250" s="6"/>
      <c r="L250" s="6"/>
      <c r="M250" s="6"/>
      <c r="N250" s="6"/>
    </row>
    <row r="251" spans="2:14" x14ac:dyDescent="0.25">
      <c r="B251" s="7"/>
      <c r="C251" s="6"/>
      <c r="D251" s="6"/>
      <c r="E251" s="7"/>
      <c r="F251" s="6"/>
      <c r="G251" s="6"/>
      <c r="H251" s="6"/>
      <c r="I251" s="6"/>
      <c r="J251" s="6"/>
      <c r="K251" s="6"/>
      <c r="L251" s="6"/>
      <c r="M251" s="6"/>
      <c r="N251" s="6"/>
    </row>
    <row r="252" spans="2:14" x14ac:dyDescent="0.25">
      <c r="B252" s="7"/>
      <c r="C252" s="6"/>
      <c r="D252" s="6"/>
      <c r="E252" s="7"/>
      <c r="F252" s="6"/>
      <c r="G252" s="6"/>
      <c r="H252" s="6"/>
      <c r="I252" s="6"/>
      <c r="J252" s="6"/>
      <c r="K252" s="6"/>
      <c r="L252" s="6"/>
      <c r="M252" s="6"/>
      <c r="N252" s="6"/>
    </row>
    <row r="253" spans="2:14" x14ac:dyDescent="0.25">
      <c r="B253" s="7"/>
      <c r="C253" s="6"/>
      <c r="D253" s="6"/>
      <c r="E253" s="7"/>
      <c r="F253" s="6"/>
      <c r="G253" s="6"/>
      <c r="H253" s="6"/>
      <c r="I253" s="6"/>
      <c r="J253" s="6"/>
      <c r="K253" s="6"/>
      <c r="L253" s="6"/>
      <c r="M253" s="6"/>
      <c r="N253" s="6"/>
    </row>
    <row r="254" spans="2:14" x14ac:dyDescent="0.25">
      <c r="B254" s="7"/>
      <c r="C254" s="6"/>
      <c r="D254" s="6"/>
      <c r="E254" s="7"/>
      <c r="F254" s="6"/>
      <c r="G254" s="6"/>
      <c r="H254" s="6"/>
      <c r="I254" s="6"/>
      <c r="J254" s="6"/>
      <c r="K254" s="6"/>
      <c r="L254" s="6"/>
      <c r="M254" s="6"/>
      <c r="N254" s="6"/>
    </row>
    <row r="255" spans="2:14" x14ac:dyDescent="0.25">
      <c r="B255" s="7"/>
      <c r="C255" s="6"/>
      <c r="D255" s="6"/>
      <c r="E255" s="7"/>
      <c r="F255" s="6"/>
      <c r="G255" s="6"/>
      <c r="H255" s="6"/>
      <c r="I255" s="6"/>
      <c r="J255" s="6"/>
      <c r="K255" s="6"/>
      <c r="L255" s="6"/>
      <c r="M255" s="6"/>
      <c r="N255" s="6"/>
    </row>
  </sheetData>
  <sheetProtection formatCells="0" formatColumns="0" formatRows="0" insertColumns="0" insertRows="0" insertHyperlinks="0" deleteColumns="0" deleteRows="0" sort="0" autoFilter="0" pivotTables="0"/>
  <mergeCells count="10">
    <mergeCell ref="J2:K2"/>
    <mergeCell ref="N2:N3"/>
    <mergeCell ref="B1:C1"/>
    <mergeCell ref="J1:N1"/>
    <mergeCell ref="D2:D3"/>
    <mergeCell ref="C2:C3"/>
    <mergeCell ref="B2:B3"/>
    <mergeCell ref="E2:E3"/>
    <mergeCell ref="H2:I2"/>
    <mergeCell ref="F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132"/>
  <sheetViews>
    <sheetView showGridLines="0" workbookViewId="0">
      <pane ySplit="6" topLeftCell="A17" activePane="bottomLeft" state="frozen"/>
      <selection pane="bottomLeft" activeCell="F1" sqref="F1:G4"/>
    </sheetView>
  </sheetViews>
  <sheetFormatPr defaultRowHeight="15" x14ac:dyDescent="0.25"/>
  <cols>
    <col min="2" max="2" width="18.7109375" customWidth="1"/>
    <col min="3" max="3" width="36.28515625" customWidth="1"/>
    <col min="4" max="4" width="15.85546875" customWidth="1"/>
    <col min="5" max="5" width="20.7109375" customWidth="1"/>
    <col min="6" max="6" width="15" customWidth="1"/>
    <col min="7" max="7" width="16.42578125" customWidth="1"/>
  </cols>
  <sheetData>
    <row r="1" spans="1:7" x14ac:dyDescent="0.25">
      <c r="F1" s="81" t="s">
        <v>15</v>
      </c>
      <c r="G1" s="81"/>
    </row>
    <row r="2" spans="1:7" x14ac:dyDescent="0.25">
      <c r="D2" s="9" t="s">
        <v>19</v>
      </c>
      <c r="F2" s="81"/>
      <c r="G2" s="81"/>
    </row>
    <row r="3" spans="1:7" x14ac:dyDescent="0.25">
      <c r="D3" s="9" t="s">
        <v>17</v>
      </c>
      <c r="F3" s="81"/>
      <c r="G3" s="81"/>
    </row>
    <row r="4" spans="1:7" ht="28.5" x14ac:dyDescent="0.25">
      <c r="A4" s="82" t="s">
        <v>18</v>
      </c>
      <c r="B4" s="82"/>
      <c r="C4" s="10" t="s">
        <v>0</v>
      </c>
      <c r="D4" s="83"/>
      <c r="E4" s="83"/>
      <c r="F4" s="81"/>
      <c r="G4" s="81"/>
    </row>
    <row r="5" spans="1:7" x14ac:dyDescent="0.25">
      <c r="A5" s="84" t="s">
        <v>0</v>
      </c>
      <c r="B5" s="80" t="s">
        <v>16</v>
      </c>
      <c r="C5" s="86" t="s">
        <v>1</v>
      </c>
      <c r="D5" s="85" t="s">
        <v>2</v>
      </c>
      <c r="E5" s="84" t="s">
        <v>3</v>
      </c>
      <c r="F5" s="79" t="s">
        <v>6</v>
      </c>
      <c r="G5" s="79" t="s">
        <v>12</v>
      </c>
    </row>
    <row r="6" spans="1:7" x14ac:dyDescent="0.25">
      <c r="A6" s="85"/>
      <c r="B6" s="80"/>
      <c r="C6" s="86"/>
      <c r="D6" s="85"/>
      <c r="E6" s="85"/>
      <c r="F6" s="79"/>
      <c r="G6" s="79"/>
    </row>
    <row r="7" spans="1:7" x14ac:dyDescent="0.25">
      <c r="A7" s="11"/>
      <c r="B7" s="11"/>
      <c r="C7" s="11"/>
      <c r="D7" s="11"/>
      <c r="E7" s="11"/>
      <c r="F7" s="11"/>
      <c r="G7" s="11"/>
    </row>
    <row r="8" spans="1:7" x14ac:dyDescent="0.25">
      <c r="A8" s="11"/>
      <c r="B8" s="11"/>
      <c r="C8" s="11"/>
      <c r="D8" s="11"/>
      <c r="E8" s="11"/>
      <c r="F8" s="11"/>
      <c r="G8" s="11"/>
    </row>
    <row r="9" spans="1:7" x14ac:dyDescent="0.25">
      <c r="A9" s="11"/>
      <c r="B9" s="11"/>
      <c r="C9" s="11"/>
      <c r="D9" s="11"/>
      <c r="E9" s="11"/>
      <c r="F9" s="11"/>
      <c r="G9" s="11"/>
    </row>
    <row r="10" spans="1:7" x14ac:dyDescent="0.25">
      <c r="A10" s="11"/>
      <c r="B10" s="11"/>
      <c r="C10" s="11"/>
      <c r="D10" s="11"/>
      <c r="E10" s="11"/>
      <c r="F10" s="11"/>
      <c r="G10" s="11"/>
    </row>
    <row r="11" spans="1:7" x14ac:dyDescent="0.25">
      <c r="A11" s="11"/>
      <c r="B11" s="11"/>
      <c r="C11" s="11"/>
      <c r="D11" s="11"/>
      <c r="E11" s="11"/>
      <c r="F11" s="11"/>
      <c r="G11" s="11"/>
    </row>
    <row r="12" spans="1:7" x14ac:dyDescent="0.25">
      <c r="A12" s="11"/>
      <c r="B12" s="11"/>
      <c r="C12" s="11"/>
      <c r="D12" s="11"/>
      <c r="E12" s="11"/>
      <c r="F12" s="11"/>
      <c r="G12" s="11"/>
    </row>
    <row r="13" spans="1:7" x14ac:dyDescent="0.25">
      <c r="A13" s="11"/>
      <c r="B13" s="11"/>
      <c r="C13" s="11"/>
      <c r="D13" s="11"/>
      <c r="E13" s="11"/>
      <c r="F13" s="11"/>
      <c r="G13" s="11"/>
    </row>
    <row r="14" spans="1:7" x14ac:dyDescent="0.25">
      <c r="A14" s="11"/>
      <c r="B14" s="11"/>
      <c r="C14" s="11"/>
      <c r="D14" s="11"/>
      <c r="E14" s="11"/>
      <c r="F14" s="11"/>
      <c r="G14" s="11"/>
    </row>
    <row r="15" spans="1:7" x14ac:dyDescent="0.25">
      <c r="A15" s="11"/>
      <c r="B15" s="11"/>
      <c r="C15" s="11"/>
      <c r="D15" s="11"/>
      <c r="E15" s="11"/>
      <c r="F15" s="11"/>
      <c r="G15" s="11"/>
    </row>
    <row r="16" spans="1:7" x14ac:dyDescent="0.25">
      <c r="A16" s="11"/>
      <c r="B16" s="11"/>
      <c r="C16" s="11"/>
      <c r="D16" s="11"/>
      <c r="E16" s="11"/>
      <c r="F16" s="11"/>
      <c r="G16" s="11"/>
    </row>
    <row r="17" spans="1:7" x14ac:dyDescent="0.25">
      <c r="A17" s="11"/>
      <c r="B17" s="11"/>
      <c r="C17" s="11"/>
      <c r="D17" s="11"/>
      <c r="E17" s="11"/>
      <c r="F17" s="11"/>
      <c r="G17" s="11"/>
    </row>
    <row r="18" spans="1:7" x14ac:dyDescent="0.25">
      <c r="A18" s="11"/>
      <c r="B18" s="11"/>
      <c r="C18" s="11"/>
      <c r="D18" s="11"/>
      <c r="E18" s="11"/>
      <c r="F18" s="11"/>
      <c r="G18" s="11"/>
    </row>
    <row r="19" spans="1:7" x14ac:dyDescent="0.25">
      <c r="A19" s="11"/>
      <c r="B19" s="11"/>
      <c r="C19" s="11"/>
      <c r="D19" s="11"/>
      <c r="E19" s="11"/>
      <c r="F19" s="11"/>
      <c r="G19" s="11"/>
    </row>
    <row r="20" spans="1:7" x14ac:dyDescent="0.25">
      <c r="A20" s="11"/>
      <c r="B20" s="11"/>
      <c r="C20" s="11"/>
      <c r="D20" s="11"/>
      <c r="E20" s="11"/>
      <c r="F20" s="11"/>
      <c r="G20" s="11"/>
    </row>
    <row r="21" spans="1:7" x14ac:dyDescent="0.25">
      <c r="A21" s="11"/>
      <c r="B21" s="11"/>
      <c r="C21" s="11"/>
      <c r="D21" s="11"/>
      <c r="E21" s="11"/>
      <c r="F21" s="11"/>
      <c r="G21" s="11"/>
    </row>
    <row r="22" spans="1:7" x14ac:dyDescent="0.25">
      <c r="A22" s="11"/>
      <c r="B22" s="11"/>
      <c r="C22" s="11"/>
      <c r="D22" s="11"/>
      <c r="E22" s="11"/>
      <c r="F22" s="11"/>
      <c r="G22" s="11"/>
    </row>
    <row r="23" spans="1:7" x14ac:dyDescent="0.25">
      <c r="A23" s="11"/>
      <c r="B23" s="11"/>
      <c r="C23" s="11"/>
      <c r="D23" s="11"/>
      <c r="E23" s="11"/>
      <c r="F23" s="11"/>
      <c r="G23" s="11"/>
    </row>
    <row r="24" spans="1:7" x14ac:dyDescent="0.25">
      <c r="A24" s="11"/>
      <c r="B24" s="11"/>
      <c r="C24" s="11"/>
      <c r="D24" s="11"/>
      <c r="E24" s="11"/>
      <c r="F24" s="11"/>
      <c r="G24" s="11"/>
    </row>
    <row r="25" spans="1:7" x14ac:dyDescent="0.25">
      <c r="A25" s="11"/>
      <c r="B25" s="11"/>
      <c r="C25" s="11"/>
      <c r="D25" s="11"/>
      <c r="E25" s="11"/>
      <c r="F25" s="11"/>
      <c r="G25" s="11"/>
    </row>
    <row r="26" spans="1:7" x14ac:dyDescent="0.25">
      <c r="A26" s="11"/>
      <c r="B26" s="11"/>
      <c r="C26" s="11"/>
      <c r="D26" s="11"/>
      <c r="E26" s="11"/>
      <c r="F26" s="11"/>
      <c r="G26" s="11"/>
    </row>
    <row r="27" spans="1:7" x14ac:dyDescent="0.25">
      <c r="A27" s="11"/>
      <c r="B27" s="11"/>
      <c r="C27" s="11"/>
      <c r="D27" s="11"/>
      <c r="E27" s="11"/>
      <c r="F27" s="11"/>
      <c r="G27" s="11"/>
    </row>
    <row r="28" spans="1:7" x14ac:dyDescent="0.25">
      <c r="A28" s="11"/>
      <c r="B28" s="11"/>
      <c r="C28" s="11"/>
      <c r="D28" s="11"/>
      <c r="E28" s="11"/>
      <c r="F28" s="11"/>
      <c r="G28" s="11"/>
    </row>
    <row r="29" spans="1:7" x14ac:dyDescent="0.25">
      <c r="A29" s="11"/>
      <c r="B29" s="11"/>
      <c r="C29" s="11"/>
      <c r="D29" s="11"/>
      <c r="E29" s="11"/>
      <c r="F29" s="11"/>
      <c r="G29" s="11"/>
    </row>
    <row r="30" spans="1:7" x14ac:dyDescent="0.25">
      <c r="A30" s="11"/>
      <c r="B30" s="11"/>
      <c r="C30" s="11"/>
      <c r="D30" s="11"/>
      <c r="E30" s="11"/>
      <c r="F30" s="11"/>
      <c r="G30" s="11"/>
    </row>
    <row r="31" spans="1:7" x14ac:dyDescent="0.25">
      <c r="A31" s="11"/>
      <c r="B31" s="11"/>
      <c r="C31" s="11"/>
      <c r="D31" s="11"/>
      <c r="E31" s="11"/>
      <c r="F31" s="11"/>
      <c r="G31" s="11"/>
    </row>
    <row r="32" spans="1:7" x14ac:dyDescent="0.25">
      <c r="A32" s="11"/>
      <c r="B32" s="11"/>
      <c r="C32" s="11"/>
      <c r="D32" s="11"/>
      <c r="E32" s="11"/>
      <c r="F32" s="11"/>
      <c r="G32" s="11"/>
    </row>
    <row r="33" spans="1:7" x14ac:dyDescent="0.25">
      <c r="A33" s="11"/>
      <c r="B33" s="11"/>
      <c r="C33" s="11"/>
      <c r="D33" s="11"/>
      <c r="E33" s="11"/>
      <c r="F33" s="11"/>
      <c r="G33" s="11"/>
    </row>
    <row r="34" spans="1:7" x14ac:dyDescent="0.25">
      <c r="A34" s="11"/>
      <c r="B34" s="11"/>
      <c r="C34" s="11"/>
      <c r="D34" s="11"/>
      <c r="E34" s="11"/>
      <c r="F34" s="11"/>
      <c r="G34" s="11"/>
    </row>
    <row r="35" spans="1:7" x14ac:dyDescent="0.25">
      <c r="A35" s="11"/>
      <c r="B35" s="11"/>
      <c r="C35" s="11"/>
      <c r="D35" s="11"/>
      <c r="E35" s="11"/>
      <c r="F35" s="11"/>
      <c r="G35" s="11"/>
    </row>
    <row r="36" spans="1:7" x14ac:dyDescent="0.25">
      <c r="A36" s="11"/>
      <c r="B36" s="11"/>
      <c r="C36" s="11"/>
      <c r="D36" s="11"/>
      <c r="E36" s="11"/>
      <c r="F36" s="11"/>
      <c r="G36" s="11"/>
    </row>
    <row r="37" spans="1:7" x14ac:dyDescent="0.25">
      <c r="A37" s="11"/>
      <c r="B37" s="11"/>
      <c r="C37" s="11"/>
      <c r="D37" s="11"/>
      <c r="E37" s="11"/>
      <c r="F37" s="11"/>
      <c r="G37" s="11"/>
    </row>
    <row r="38" spans="1:7" x14ac:dyDescent="0.25">
      <c r="A38" s="11"/>
      <c r="B38" s="11"/>
      <c r="C38" s="11"/>
      <c r="D38" s="11"/>
      <c r="E38" s="11"/>
      <c r="F38" s="11"/>
      <c r="G38" s="11"/>
    </row>
    <row r="39" spans="1:7" x14ac:dyDescent="0.25">
      <c r="A39" s="11"/>
      <c r="B39" s="11"/>
      <c r="C39" s="11"/>
      <c r="D39" s="11"/>
      <c r="E39" s="11"/>
      <c r="F39" s="11"/>
      <c r="G39" s="11"/>
    </row>
    <row r="40" spans="1:7" x14ac:dyDescent="0.25">
      <c r="A40" s="11"/>
      <c r="B40" s="11"/>
      <c r="C40" s="11"/>
      <c r="D40" s="11"/>
      <c r="E40" s="11"/>
      <c r="F40" s="11"/>
      <c r="G40" s="11"/>
    </row>
    <row r="41" spans="1:7" x14ac:dyDescent="0.25">
      <c r="A41" s="11"/>
      <c r="B41" s="11"/>
      <c r="C41" s="11"/>
      <c r="D41" s="11"/>
      <c r="E41" s="11"/>
      <c r="F41" s="11"/>
      <c r="G41" s="11"/>
    </row>
    <row r="42" spans="1:7" x14ac:dyDescent="0.25">
      <c r="A42" s="11"/>
      <c r="B42" s="11"/>
      <c r="C42" s="11"/>
      <c r="D42" s="11"/>
      <c r="E42" s="11"/>
      <c r="F42" s="11"/>
      <c r="G42" s="11"/>
    </row>
    <row r="43" spans="1:7" x14ac:dyDescent="0.25">
      <c r="A43" s="11"/>
      <c r="B43" s="11"/>
      <c r="C43" s="11"/>
      <c r="D43" s="11"/>
      <c r="E43" s="11"/>
      <c r="F43" s="11"/>
      <c r="G43" s="11"/>
    </row>
    <row r="44" spans="1:7" x14ac:dyDescent="0.25">
      <c r="A44" s="11"/>
      <c r="B44" s="11"/>
      <c r="C44" s="11"/>
      <c r="D44" s="11"/>
      <c r="E44" s="11"/>
      <c r="F44" s="11"/>
      <c r="G44" s="11"/>
    </row>
    <row r="45" spans="1:7" x14ac:dyDescent="0.25">
      <c r="A45" s="11"/>
      <c r="B45" s="11"/>
      <c r="C45" s="11"/>
      <c r="D45" s="11"/>
      <c r="E45" s="11"/>
      <c r="F45" s="11"/>
      <c r="G45" s="11"/>
    </row>
    <row r="46" spans="1:7" x14ac:dyDescent="0.25">
      <c r="A46" s="11"/>
      <c r="B46" s="11"/>
      <c r="C46" s="11"/>
      <c r="D46" s="11"/>
      <c r="E46" s="11"/>
      <c r="F46" s="11"/>
      <c r="G46" s="11"/>
    </row>
    <row r="47" spans="1:7" x14ac:dyDescent="0.25">
      <c r="A47" s="11"/>
      <c r="B47" s="11"/>
      <c r="C47" s="11"/>
      <c r="D47" s="11"/>
      <c r="E47" s="11"/>
      <c r="F47" s="11"/>
      <c r="G47" s="11"/>
    </row>
    <row r="48" spans="1:7" x14ac:dyDescent="0.25">
      <c r="A48" s="11"/>
      <c r="B48" s="11"/>
      <c r="C48" s="11"/>
      <c r="D48" s="11"/>
      <c r="E48" s="11"/>
      <c r="F48" s="11"/>
      <c r="G48" s="11"/>
    </row>
    <row r="49" spans="1:7" x14ac:dyDescent="0.25">
      <c r="A49" s="11"/>
      <c r="B49" s="11"/>
      <c r="C49" s="11"/>
      <c r="D49" s="11"/>
      <c r="E49" s="11"/>
      <c r="F49" s="11"/>
      <c r="G49" s="11"/>
    </row>
    <row r="50" spans="1:7" x14ac:dyDescent="0.25">
      <c r="A50" s="11"/>
      <c r="B50" s="11"/>
      <c r="C50" s="11"/>
      <c r="D50" s="11"/>
      <c r="E50" s="11"/>
      <c r="F50" s="11"/>
      <c r="G50" s="11"/>
    </row>
    <row r="51" spans="1:7" x14ac:dyDescent="0.25">
      <c r="A51" s="11"/>
      <c r="B51" s="11"/>
      <c r="C51" s="11"/>
      <c r="D51" s="11"/>
      <c r="E51" s="11"/>
      <c r="F51" s="11"/>
      <c r="G51" s="11"/>
    </row>
    <row r="52" spans="1:7" x14ac:dyDescent="0.25">
      <c r="A52" s="11"/>
      <c r="B52" s="11"/>
      <c r="C52" s="11"/>
      <c r="D52" s="11"/>
      <c r="E52" s="11"/>
      <c r="F52" s="11"/>
      <c r="G52" s="11"/>
    </row>
    <row r="53" spans="1:7" x14ac:dyDescent="0.25">
      <c r="A53" s="11"/>
      <c r="B53" s="11"/>
      <c r="C53" s="11"/>
      <c r="D53" s="11"/>
      <c r="E53" s="11"/>
      <c r="F53" s="11"/>
      <c r="G53" s="11"/>
    </row>
    <row r="54" spans="1:7" x14ac:dyDescent="0.25">
      <c r="A54" s="11"/>
      <c r="B54" s="11"/>
      <c r="C54" s="11"/>
      <c r="D54" s="11"/>
      <c r="E54" s="11"/>
      <c r="F54" s="11"/>
      <c r="G54" s="11"/>
    </row>
    <row r="55" spans="1:7" x14ac:dyDescent="0.25">
      <c r="A55" s="11"/>
      <c r="B55" s="11"/>
      <c r="C55" s="11"/>
      <c r="D55" s="11"/>
      <c r="E55" s="11"/>
      <c r="F55" s="11"/>
      <c r="G55" s="11"/>
    </row>
    <row r="56" spans="1:7" x14ac:dyDescent="0.25">
      <c r="A56" s="11"/>
      <c r="B56" s="11"/>
      <c r="C56" s="11"/>
      <c r="D56" s="11"/>
      <c r="E56" s="11"/>
      <c r="F56" s="11"/>
      <c r="G56" s="11"/>
    </row>
    <row r="57" spans="1:7" x14ac:dyDescent="0.25">
      <c r="A57" s="11"/>
      <c r="B57" s="11"/>
      <c r="C57" s="11"/>
      <c r="D57" s="11"/>
      <c r="E57" s="11"/>
      <c r="F57" s="11"/>
      <c r="G57" s="11"/>
    </row>
    <row r="58" spans="1:7" x14ac:dyDescent="0.25">
      <c r="A58" s="11"/>
      <c r="B58" s="11"/>
      <c r="C58" s="11"/>
      <c r="D58" s="11"/>
      <c r="E58" s="11"/>
      <c r="F58" s="11"/>
      <c r="G58" s="11"/>
    </row>
    <row r="59" spans="1:7" x14ac:dyDescent="0.25">
      <c r="A59" s="11"/>
      <c r="B59" s="11"/>
      <c r="C59" s="11"/>
      <c r="D59" s="11"/>
      <c r="E59" s="11"/>
      <c r="F59" s="11"/>
      <c r="G59" s="11"/>
    </row>
    <row r="60" spans="1:7" x14ac:dyDescent="0.25">
      <c r="A60" s="11"/>
      <c r="B60" s="11"/>
      <c r="C60" s="11"/>
      <c r="D60" s="11"/>
      <c r="E60" s="11"/>
      <c r="F60" s="11"/>
      <c r="G60" s="11"/>
    </row>
    <row r="61" spans="1:7" x14ac:dyDescent="0.25">
      <c r="A61" s="11"/>
      <c r="B61" s="11"/>
      <c r="C61" s="11"/>
      <c r="D61" s="11"/>
      <c r="E61" s="11"/>
      <c r="F61" s="11"/>
      <c r="G61" s="11"/>
    </row>
    <row r="62" spans="1:7" x14ac:dyDescent="0.25">
      <c r="A62" s="11"/>
      <c r="B62" s="11"/>
      <c r="C62" s="11"/>
      <c r="D62" s="11"/>
      <c r="E62" s="11"/>
      <c r="F62" s="11"/>
      <c r="G62" s="11"/>
    </row>
    <row r="63" spans="1:7" x14ac:dyDescent="0.25">
      <c r="A63" s="11"/>
      <c r="B63" s="11"/>
      <c r="C63" s="11"/>
      <c r="D63" s="11"/>
      <c r="E63" s="11"/>
      <c r="F63" s="11"/>
      <c r="G63" s="11"/>
    </row>
    <row r="64" spans="1:7" x14ac:dyDescent="0.25">
      <c r="A64" s="11"/>
      <c r="B64" s="11"/>
      <c r="C64" s="11"/>
      <c r="D64" s="11"/>
      <c r="E64" s="11"/>
      <c r="F64" s="11"/>
      <c r="G64" s="11"/>
    </row>
    <row r="65" spans="1:7" x14ac:dyDescent="0.25">
      <c r="A65" s="11"/>
      <c r="B65" s="11"/>
      <c r="C65" s="11"/>
      <c r="D65" s="11"/>
      <c r="E65" s="11"/>
      <c r="F65" s="11"/>
      <c r="G65" s="11"/>
    </row>
    <row r="66" spans="1:7" x14ac:dyDescent="0.25">
      <c r="A66" s="11"/>
      <c r="B66" s="11"/>
      <c r="C66" s="11"/>
      <c r="D66" s="11"/>
      <c r="E66" s="11"/>
      <c r="F66" s="11"/>
      <c r="G66" s="11"/>
    </row>
    <row r="67" spans="1:7" x14ac:dyDescent="0.25">
      <c r="A67" s="11"/>
      <c r="B67" s="11"/>
      <c r="C67" s="11"/>
      <c r="D67" s="11"/>
      <c r="E67" s="11"/>
      <c r="F67" s="11"/>
      <c r="G67" s="11"/>
    </row>
    <row r="68" spans="1:7" x14ac:dyDescent="0.25">
      <c r="A68" s="11"/>
      <c r="B68" s="11"/>
      <c r="C68" s="11"/>
      <c r="D68" s="11"/>
      <c r="E68" s="11"/>
      <c r="F68" s="11"/>
      <c r="G68" s="11"/>
    </row>
    <row r="69" spans="1:7" x14ac:dyDescent="0.25">
      <c r="A69" s="11"/>
      <c r="B69" s="11"/>
      <c r="C69" s="11"/>
      <c r="D69" s="11"/>
      <c r="E69" s="11"/>
      <c r="F69" s="11"/>
      <c r="G69" s="11"/>
    </row>
    <row r="70" spans="1:7" x14ac:dyDescent="0.25">
      <c r="A70" s="11"/>
      <c r="B70" s="11"/>
      <c r="C70" s="11"/>
      <c r="D70" s="11"/>
      <c r="E70" s="11"/>
      <c r="F70" s="11"/>
      <c r="G70" s="11"/>
    </row>
    <row r="71" spans="1:7" x14ac:dyDescent="0.25">
      <c r="A71" s="11"/>
      <c r="B71" s="11"/>
      <c r="C71" s="11"/>
      <c r="D71" s="11"/>
      <c r="E71" s="11"/>
      <c r="F71" s="11"/>
      <c r="G71" s="11"/>
    </row>
    <row r="72" spans="1:7" x14ac:dyDescent="0.25">
      <c r="A72" s="11"/>
      <c r="B72" s="11"/>
      <c r="C72" s="11"/>
      <c r="D72" s="11"/>
      <c r="E72" s="11"/>
      <c r="F72" s="11"/>
      <c r="G72" s="11"/>
    </row>
    <row r="73" spans="1:7" x14ac:dyDescent="0.25">
      <c r="A73" s="11"/>
      <c r="B73" s="11"/>
      <c r="C73" s="11"/>
      <c r="D73" s="11"/>
      <c r="E73" s="11"/>
      <c r="F73" s="11"/>
      <c r="G73" s="11"/>
    </row>
    <row r="74" spans="1:7" x14ac:dyDescent="0.25">
      <c r="A74" s="11"/>
      <c r="B74" s="11"/>
      <c r="C74" s="11"/>
      <c r="D74" s="11"/>
      <c r="E74" s="11"/>
      <c r="F74" s="11"/>
      <c r="G74" s="11"/>
    </row>
    <row r="75" spans="1:7" x14ac:dyDescent="0.25">
      <c r="A75" s="11"/>
      <c r="B75" s="11"/>
      <c r="C75" s="11"/>
      <c r="D75" s="11"/>
      <c r="E75" s="11"/>
      <c r="F75" s="11"/>
      <c r="G75" s="11"/>
    </row>
    <row r="76" spans="1:7" x14ac:dyDescent="0.25">
      <c r="A76" s="11"/>
      <c r="B76" s="11"/>
      <c r="C76" s="11"/>
      <c r="D76" s="11"/>
      <c r="E76" s="11"/>
      <c r="F76" s="11"/>
      <c r="G76" s="11"/>
    </row>
    <row r="77" spans="1:7" x14ac:dyDescent="0.25">
      <c r="A77" s="11"/>
      <c r="B77" s="11"/>
      <c r="C77" s="11"/>
      <c r="D77" s="11"/>
      <c r="E77" s="11"/>
      <c r="F77" s="11"/>
      <c r="G77" s="11"/>
    </row>
    <row r="78" spans="1:7" x14ac:dyDescent="0.25">
      <c r="A78" s="11"/>
      <c r="B78" s="11"/>
      <c r="C78" s="11"/>
      <c r="D78" s="11"/>
      <c r="E78" s="11"/>
      <c r="F78" s="11"/>
      <c r="G78" s="11"/>
    </row>
    <row r="79" spans="1:7" x14ac:dyDescent="0.25">
      <c r="A79" s="11"/>
      <c r="B79" s="11"/>
      <c r="C79" s="11"/>
      <c r="D79" s="11"/>
      <c r="E79" s="11"/>
      <c r="F79" s="11"/>
      <c r="G79" s="11"/>
    </row>
    <row r="80" spans="1:7" x14ac:dyDescent="0.25">
      <c r="A80" s="11"/>
      <c r="B80" s="11"/>
      <c r="C80" s="11"/>
      <c r="D80" s="11"/>
      <c r="E80" s="11"/>
      <c r="F80" s="11"/>
      <c r="G80" s="11"/>
    </row>
    <row r="81" spans="1:7" x14ac:dyDescent="0.25">
      <c r="A81" s="11"/>
      <c r="B81" s="11"/>
      <c r="C81" s="11"/>
      <c r="D81" s="11"/>
      <c r="E81" s="11"/>
      <c r="F81" s="11"/>
      <c r="G81" s="11"/>
    </row>
    <row r="82" spans="1:7" x14ac:dyDescent="0.25">
      <c r="A82" s="11"/>
      <c r="B82" s="11"/>
      <c r="C82" s="11"/>
      <c r="D82" s="11"/>
      <c r="E82" s="11"/>
      <c r="F82" s="11"/>
      <c r="G82" s="11"/>
    </row>
    <row r="83" spans="1:7" x14ac:dyDescent="0.25">
      <c r="A83" s="11"/>
      <c r="B83" s="11"/>
      <c r="C83" s="11"/>
      <c r="D83" s="11"/>
      <c r="E83" s="11"/>
      <c r="F83" s="11"/>
      <c r="G83" s="11"/>
    </row>
    <row r="84" spans="1:7" x14ac:dyDescent="0.25">
      <c r="A84" s="11"/>
      <c r="B84" s="11"/>
      <c r="C84" s="11"/>
      <c r="D84" s="11"/>
      <c r="E84" s="11"/>
      <c r="F84" s="11"/>
      <c r="G84" s="11"/>
    </row>
    <row r="85" spans="1:7" x14ac:dyDescent="0.25">
      <c r="A85" s="11"/>
      <c r="B85" s="11"/>
      <c r="C85" s="11"/>
      <c r="D85" s="11"/>
      <c r="E85" s="11"/>
      <c r="F85" s="11"/>
      <c r="G85" s="11"/>
    </row>
    <row r="86" spans="1:7" x14ac:dyDescent="0.25">
      <c r="A86" s="11"/>
      <c r="B86" s="11"/>
      <c r="C86" s="11"/>
      <c r="D86" s="11"/>
      <c r="E86" s="11"/>
      <c r="F86" s="11"/>
      <c r="G86" s="11"/>
    </row>
    <row r="87" spans="1:7" x14ac:dyDescent="0.25">
      <c r="A87" s="11"/>
      <c r="B87" s="11"/>
      <c r="C87" s="11"/>
      <c r="D87" s="11"/>
      <c r="E87" s="11"/>
      <c r="F87" s="11"/>
      <c r="G87" s="11"/>
    </row>
    <row r="88" spans="1:7" x14ac:dyDescent="0.25">
      <c r="A88" s="11"/>
      <c r="B88" s="11"/>
      <c r="C88" s="11"/>
      <c r="D88" s="11"/>
      <c r="E88" s="11"/>
      <c r="F88" s="11"/>
      <c r="G88" s="11"/>
    </row>
    <row r="89" spans="1:7" x14ac:dyDescent="0.25">
      <c r="A89" s="11"/>
      <c r="B89" s="11"/>
      <c r="C89" s="11"/>
      <c r="D89" s="11"/>
      <c r="E89" s="11"/>
      <c r="F89" s="11"/>
      <c r="G89" s="11"/>
    </row>
    <row r="90" spans="1:7" x14ac:dyDescent="0.25">
      <c r="A90" s="11"/>
      <c r="B90" s="11"/>
      <c r="C90" s="11"/>
      <c r="D90" s="11"/>
      <c r="E90" s="11"/>
      <c r="F90" s="11"/>
      <c r="G90" s="11"/>
    </row>
    <row r="91" spans="1:7" x14ac:dyDescent="0.25">
      <c r="A91" s="11"/>
      <c r="B91" s="11"/>
      <c r="C91" s="11"/>
      <c r="D91" s="11"/>
      <c r="E91" s="11"/>
      <c r="F91" s="11"/>
      <c r="G91" s="11"/>
    </row>
    <row r="92" spans="1:7" x14ac:dyDescent="0.25">
      <c r="A92" s="11"/>
      <c r="B92" s="11"/>
      <c r="C92" s="11"/>
      <c r="D92" s="11"/>
      <c r="E92" s="11"/>
      <c r="F92" s="11"/>
      <c r="G92" s="11"/>
    </row>
    <row r="93" spans="1:7" x14ac:dyDescent="0.25">
      <c r="A93" s="11"/>
      <c r="B93" s="11"/>
      <c r="C93" s="11"/>
      <c r="D93" s="11"/>
      <c r="E93" s="11"/>
      <c r="F93" s="11"/>
      <c r="G93" s="11"/>
    </row>
    <row r="94" spans="1:7" x14ac:dyDescent="0.25">
      <c r="A94" s="11"/>
      <c r="B94" s="11"/>
      <c r="C94" s="11"/>
      <c r="D94" s="11"/>
      <c r="E94" s="11"/>
      <c r="F94" s="11"/>
      <c r="G94" s="11"/>
    </row>
    <row r="95" spans="1:7" x14ac:dyDescent="0.25">
      <c r="A95" s="11"/>
      <c r="B95" s="11"/>
      <c r="C95" s="11"/>
      <c r="D95" s="11"/>
      <c r="E95" s="11"/>
      <c r="F95" s="11"/>
      <c r="G95" s="11"/>
    </row>
    <row r="96" spans="1:7" x14ac:dyDescent="0.25">
      <c r="A96" s="11"/>
      <c r="B96" s="11"/>
      <c r="C96" s="11"/>
      <c r="D96" s="11"/>
      <c r="E96" s="11"/>
      <c r="F96" s="11"/>
      <c r="G96" s="11"/>
    </row>
    <row r="97" spans="1:7" x14ac:dyDescent="0.25">
      <c r="A97" s="11"/>
      <c r="B97" s="11"/>
      <c r="C97" s="11"/>
      <c r="D97" s="11"/>
      <c r="E97" s="11"/>
      <c r="F97" s="11"/>
      <c r="G97" s="11"/>
    </row>
    <row r="98" spans="1:7" x14ac:dyDescent="0.25">
      <c r="A98" s="11"/>
      <c r="B98" s="11"/>
      <c r="C98" s="11"/>
      <c r="D98" s="11"/>
      <c r="E98" s="11"/>
      <c r="F98" s="11"/>
      <c r="G98" s="11"/>
    </row>
    <row r="99" spans="1:7" x14ac:dyDescent="0.25">
      <c r="A99" s="11"/>
      <c r="B99" s="11"/>
      <c r="C99" s="11"/>
      <c r="D99" s="11"/>
      <c r="E99" s="11"/>
      <c r="F99" s="11"/>
      <c r="G99" s="11"/>
    </row>
    <row r="100" spans="1:7" x14ac:dyDescent="0.25">
      <c r="A100" s="11"/>
      <c r="B100" s="11"/>
      <c r="C100" s="11"/>
      <c r="D100" s="11"/>
      <c r="E100" s="11"/>
      <c r="F100" s="11"/>
      <c r="G100" s="11"/>
    </row>
    <row r="101" spans="1:7" x14ac:dyDescent="0.25">
      <c r="A101" s="11"/>
      <c r="B101" s="11"/>
      <c r="C101" s="11"/>
      <c r="D101" s="11"/>
      <c r="E101" s="11"/>
      <c r="F101" s="11"/>
      <c r="G101" s="11"/>
    </row>
    <row r="102" spans="1:7" x14ac:dyDescent="0.25">
      <c r="A102" s="11"/>
      <c r="B102" s="11"/>
      <c r="C102" s="11"/>
      <c r="D102" s="11"/>
      <c r="E102" s="11"/>
      <c r="F102" s="11"/>
      <c r="G102" s="11"/>
    </row>
    <row r="103" spans="1:7" x14ac:dyDescent="0.25">
      <c r="A103" s="11"/>
      <c r="B103" s="11"/>
      <c r="C103" s="11"/>
      <c r="D103" s="11"/>
      <c r="E103" s="11"/>
      <c r="F103" s="11"/>
      <c r="G103" s="11"/>
    </row>
    <row r="104" spans="1:7" x14ac:dyDescent="0.25">
      <c r="A104" s="11"/>
      <c r="B104" s="11"/>
      <c r="C104" s="11"/>
      <c r="D104" s="11"/>
      <c r="E104" s="11"/>
      <c r="F104" s="11"/>
      <c r="G104" s="11"/>
    </row>
    <row r="105" spans="1:7" x14ac:dyDescent="0.25">
      <c r="A105" s="11"/>
      <c r="B105" s="11"/>
      <c r="C105" s="11"/>
      <c r="D105" s="11"/>
      <c r="E105" s="11"/>
      <c r="F105" s="11"/>
      <c r="G105" s="11"/>
    </row>
    <row r="106" spans="1:7" x14ac:dyDescent="0.25">
      <c r="A106" s="11"/>
      <c r="B106" s="11"/>
      <c r="C106" s="11"/>
      <c r="D106" s="11"/>
      <c r="E106" s="11"/>
      <c r="F106" s="11"/>
      <c r="G106" s="11"/>
    </row>
    <row r="107" spans="1:7" x14ac:dyDescent="0.25">
      <c r="A107" s="11"/>
      <c r="B107" s="11"/>
      <c r="C107" s="11"/>
      <c r="D107" s="11"/>
      <c r="E107" s="11"/>
      <c r="F107" s="11"/>
      <c r="G107" s="11"/>
    </row>
    <row r="108" spans="1:7" x14ac:dyDescent="0.25">
      <c r="A108" s="11"/>
      <c r="B108" s="11"/>
      <c r="C108" s="11"/>
      <c r="D108" s="11"/>
      <c r="E108" s="11"/>
      <c r="F108" s="11"/>
      <c r="G108" s="11"/>
    </row>
    <row r="109" spans="1:7" x14ac:dyDescent="0.25">
      <c r="A109" s="11"/>
      <c r="B109" s="11"/>
      <c r="C109" s="11"/>
      <c r="D109" s="11"/>
      <c r="E109" s="11"/>
      <c r="F109" s="11"/>
      <c r="G109" s="11"/>
    </row>
    <row r="110" spans="1:7" x14ac:dyDescent="0.25">
      <c r="A110" s="11"/>
      <c r="B110" s="11"/>
      <c r="C110" s="11"/>
      <c r="D110" s="11"/>
      <c r="E110" s="11"/>
      <c r="F110" s="11"/>
      <c r="G110" s="11"/>
    </row>
    <row r="111" spans="1:7" x14ac:dyDescent="0.25">
      <c r="A111" s="11"/>
      <c r="B111" s="11"/>
      <c r="C111" s="11"/>
      <c r="D111" s="11"/>
      <c r="E111" s="11"/>
      <c r="F111" s="11"/>
      <c r="G111" s="11"/>
    </row>
    <row r="112" spans="1:7" x14ac:dyDescent="0.25">
      <c r="A112" s="11"/>
      <c r="B112" s="11"/>
      <c r="C112" s="11"/>
      <c r="D112" s="11"/>
      <c r="E112" s="11"/>
      <c r="F112" s="11"/>
      <c r="G112" s="11"/>
    </row>
    <row r="113" spans="1:7" x14ac:dyDescent="0.25">
      <c r="A113" s="11"/>
      <c r="B113" s="11"/>
      <c r="C113" s="11"/>
      <c r="D113" s="11"/>
      <c r="E113" s="11"/>
      <c r="F113" s="11"/>
      <c r="G113" s="11"/>
    </row>
    <row r="114" spans="1:7" x14ac:dyDescent="0.25">
      <c r="A114" s="11"/>
      <c r="B114" s="11"/>
      <c r="C114" s="11"/>
      <c r="D114" s="11"/>
      <c r="E114" s="11"/>
      <c r="F114" s="11"/>
      <c r="G114" s="11"/>
    </row>
    <row r="115" spans="1:7" x14ac:dyDescent="0.25">
      <c r="A115" s="11"/>
      <c r="B115" s="11"/>
      <c r="C115" s="11"/>
      <c r="D115" s="11"/>
      <c r="E115" s="11"/>
      <c r="F115" s="11"/>
      <c r="G115" s="11"/>
    </row>
    <row r="116" spans="1:7" x14ac:dyDescent="0.25">
      <c r="A116" s="11"/>
      <c r="B116" s="11"/>
      <c r="C116" s="11"/>
      <c r="D116" s="11"/>
      <c r="E116" s="11"/>
      <c r="F116" s="11"/>
      <c r="G116" s="11"/>
    </row>
    <row r="117" spans="1:7" x14ac:dyDescent="0.25">
      <c r="A117" s="11"/>
      <c r="B117" s="11"/>
      <c r="C117" s="11"/>
      <c r="D117" s="11"/>
      <c r="E117" s="11"/>
      <c r="F117" s="11"/>
      <c r="G117" s="11"/>
    </row>
    <row r="118" spans="1:7" x14ac:dyDescent="0.25">
      <c r="A118" s="11"/>
      <c r="B118" s="11"/>
      <c r="C118" s="11"/>
      <c r="D118" s="11"/>
      <c r="E118" s="11"/>
      <c r="F118" s="11"/>
      <c r="G118" s="11"/>
    </row>
    <row r="119" spans="1:7" x14ac:dyDescent="0.25">
      <c r="A119" s="11"/>
      <c r="B119" s="11"/>
      <c r="C119" s="11"/>
      <c r="D119" s="11"/>
      <c r="E119" s="11"/>
      <c r="F119" s="11"/>
      <c r="G119" s="11"/>
    </row>
    <row r="120" spans="1:7" x14ac:dyDescent="0.25">
      <c r="A120" s="11"/>
      <c r="B120" s="11"/>
      <c r="C120" s="11"/>
      <c r="D120" s="11"/>
      <c r="E120" s="11"/>
      <c r="F120" s="11"/>
      <c r="G120" s="11"/>
    </row>
    <row r="121" spans="1:7" x14ac:dyDescent="0.25">
      <c r="A121" s="11"/>
      <c r="B121" s="11"/>
      <c r="C121" s="11"/>
      <c r="D121" s="11"/>
      <c r="E121" s="11"/>
      <c r="F121" s="11"/>
      <c r="G121" s="11"/>
    </row>
    <row r="122" spans="1:7" x14ac:dyDescent="0.25">
      <c r="A122" s="11"/>
      <c r="B122" s="11"/>
      <c r="C122" s="11"/>
      <c r="D122" s="11"/>
      <c r="E122" s="11"/>
      <c r="F122" s="11"/>
      <c r="G122" s="11"/>
    </row>
    <row r="123" spans="1:7" x14ac:dyDescent="0.25">
      <c r="A123" s="11"/>
      <c r="B123" s="11"/>
      <c r="C123" s="11"/>
      <c r="D123" s="11"/>
      <c r="E123" s="11"/>
      <c r="F123" s="11"/>
      <c r="G123" s="11"/>
    </row>
    <row r="124" spans="1:7" x14ac:dyDescent="0.25">
      <c r="A124" s="11"/>
      <c r="B124" s="11"/>
      <c r="C124" s="11"/>
      <c r="D124" s="11"/>
      <c r="E124" s="11"/>
      <c r="F124" s="11"/>
      <c r="G124" s="11"/>
    </row>
    <row r="125" spans="1:7" x14ac:dyDescent="0.25">
      <c r="A125" s="11"/>
      <c r="B125" s="11"/>
      <c r="C125" s="11"/>
      <c r="D125" s="11"/>
      <c r="E125" s="11"/>
      <c r="F125" s="11"/>
      <c r="G125" s="11"/>
    </row>
    <row r="126" spans="1:7" x14ac:dyDescent="0.25">
      <c r="A126" s="11"/>
      <c r="B126" s="11"/>
      <c r="C126" s="11"/>
      <c r="D126" s="11"/>
      <c r="E126" s="11"/>
      <c r="F126" s="11"/>
      <c r="G126" s="11"/>
    </row>
    <row r="127" spans="1:7" x14ac:dyDescent="0.25">
      <c r="A127" s="11"/>
      <c r="B127" s="11"/>
      <c r="C127" s="11"/>
      <c r="D127" s="11"/>
      <c r="E127" s="11"/>
      <c r="F127" s="11"/>
      <c r="G127" s="11"/>
    </row>
    <row r="128" spans="1:7" x14ac:dyDescent="0.25">
      <c r="A128" s="11"/>
      <c r="B128" s="11"/>
      <c r="C128" s="11"/>
      <c r="D128" s="11"/>
      <c r="E128" s="11"/>
      <c r="F128" s="11"/>
      <c r="G128" s="11"/>
    </row>
    <row r="129" spans="1:7" x14ac:dyDescent="0.25">
      <c r="A129" s="11"/>
      <c r="B129" s="11"/>
      <c r="C129" s="11"/>
      <c r="D129" s="11"/>
      <c r="E129" s="11"/>
      <c r="F129" s="11"/>
      <c r="G129" s="11"/>
    </row>
    <row r="130" spans="1:7" x14ac:dyDescent="0.25">
      <c r="A130" s="11"/>
      <c r="B130" s="11"/>
      <c r="C130" s="11"/>
      <c r="D130" s="11"/>
      <c r="E130" s="11"/>
      <c r="F130" s="11"/>
      <c r="G130" s="11"/>
    </row>
    <row r="131" spans="1:7" x14ac:dyDescent="0.25">
      <c r="A131" s="11"/>
      <c r="B131" s="11"/>
      <c r="C131" s="11"/>
      <c r="D131" s="11"/>
      <c r="E131" s="11"/>
      <c r="F131" s="11"/>
      <c r="G131" s="11"/>
    </row>
    <row r="132" spans="1:7" x14ac:dyDescent="0.25">
      <c r="A132" s="11"/>
      <c r="B132" s="11"/>
      <c r="C132" s="11"/>
      <c r="D132" s="11"/>
      <c r="E132" s="11"/>
      <c r="F132" s="11"/>
      <c r="G132" s="11"/>
    </row>
  </sheetData>
  <mergeCells count="10">
    <mergeCell ref="F5:F6"/>
    <mergeCell ref="B5:B6"/>
    <mergeCell ref="G5:G6"/>
    <mergeCell ref="F1:G4"/>
    <mergeCell ref="A4:B4"/>
    <mergeCell ref="D4:E4"/>
    <mergeCell ref="A5:A6"/>
    <mergeCell ref="C5:C6"/>
    <mergeCell ref="D5:D6"/>
    <mergeCell ref="E5:E6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Персонал</vt:lpstr>
      <vt:lpstr>МАТЕРИАЛЫ</vt:lpstr>
      <vt:lpstr>ЗАЯВКА</vt:lpstr>
      <vt:lpstr>Персонал!_?utm_source_yan_utm_medium_cpc_utm_campaign_ove_yclid_18397570924582805906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Denys</cp:lastModifiedBy>
  <dcterms:created xsi:type="dcterms:W3CDTF">2017-11-01T14:24:42Z</dcterms:created>
  <dcterms:modified xsi:type="dcterms:W3CDTF">2018-01-17T20:51:18Z</dcterms:modified>
</cp:coreProperties>
</file>